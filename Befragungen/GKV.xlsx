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cripts\EML_CHECK\Befragungen\"/>
    </mc:Choice>
  </mc:AlternateContent>
  <xr:revisionPtr revIDLastSave="0" documentId="13_ncr:1_{0A01BD47-12FD-4EA0-BD1E-66FD1F2ADEC1}" xr6:coauthVersionLast="47" xr6:coauthVersionMax="47" xr10:uidLastSave="{00000000-0000-0000-0000-000000000000}"/>
  <bookViews>
    <workbookView xWindow="0" yWindow="444" windowWidth="23040" windowHeight="11796" xr2:uid="{728E1131-1478-4962-AE2C-80D5EA65F988}"/>
  </bookViews>
  <sheets>
    <sheet name="Tabelle1" sheetId="1" r:id="rId1"/>
    <sheet name="Tabelle2" sheetId="2" r:id="rId2"/>
    <sheet name="Tabelle4" sheetId="4" r:id="rId3"/>
    <sheet name="Tabelle3"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D4" i="2"/>
  <c r="D5" i="2"/>
  <c r="D9" i="2"/>
  <c r="C2" i="2"/>
  <c r="D2" i="2" s="1"/>
  <c r="B17" i="2"/>
  <c r="B16" i="2"/>
  <c r="A17" i="2"/>
  <c r="A16" i="2"/>
  <c r="A8" i="2"/>
  <c r="B8" i="2"/>
  <c r="C8" i="2" s="1"/>
  <c r="F8" i="2" s="1"/>
  <c r="F29" i="1"/>
  <c r="B19" i="2"/>
  <c r="C19" i="2" s="1"/>
  <c r="B18" i="2"/>
  <c r="C18" i="2" s="1"/>
  <c r="A19" i="2"/>
  <c r="F28" i="1"/>
  <c r="A3" i="2"/>
  <c r="A4" i="2"/>
  <c r="A5" i="2"/>
  <c r="A6" i="2"/>
  <c r="A7" i="2"/>
  <c r="A9" i="2"/>
  <c r="A10" i="2"/>
  <c r="A11" i="2"/>
  <c r="A12" i="2"/>
  <c r="A18" i="2"/>
  <c r="B7" i="2"/>
  <c r="C7" i="2" s="1"/>
  <c r="B15" i="2"/>
  <c r="C15" i="2" s="1"/>
  <c r="D15" i="2" s="1"/>
  <c r="E15" i="2" s="1"/>
  <c r="F15" i="2" s="1"/>
  <c r="F22" i="1"/>
  <c r="A2" i="2"/>
  <c r="B3" i="2"/>
  <c r="B4" i="2"/>
  <c r="C4" i="2" s="1"/>
  <c r="B5" i="2"/>
  <c r="C5" i="2" s="1"/>
  <c r="B6" i="2"/>
  <c r="C6" i="2" s="1"/>
  <c r="D6" i="2" s="1"/>
  <c r="B9" i="2"/>
  <c r="C9" i="2" s="1"/>
  <c r="B10" i="2"/>
  <c r="C10" i="2" s="1"/>
  <c r="D10" i="2" s="1"/>
  <c r="B11" i="2"/>
  <c r="B12" i="2"/>
  <c r="B2" i="2"/>
  <c r="E23" i="1"/>
  <c r="E10" i="1"/>
  <c r="F10" i="1"/>
  <c r="F19" i="1"/>
  <c r="F20" i="1"/>
  <c r="F21" i="1"/>
  <c r="F23" i="1"/>
  <c r="F24" i="1"/>
  <c r="F25" i="1"/>
  <c r="F26" i="1"/>
  <c r="F27" i="1"/>
  <c r="F30" i="1"/>
  <c r="F31" i="1"/>
  <c r="F32" i="1"/>
  <c r="F33" i="1"/>
  <c r="F34" i="1"/>
  <c r="F35" i="1"/>
  <c r="F36" i="1"/>
  <c r="F37" i="1"/>
  <c r="F38" i="1"/>
  <c r="F39" i="1"/>
  <c r="F40" i="1"/>
  <c r="F41" i="1"/>
  <c r="F42" i="1"/>
  <c r="F43" i="1"/>
  <c r="F44" i="1"/>
  <c r="F45" i="1"/>
  <c r="F46" i="1"/>
  <c r="F47" i="1"/>
  <c r="F48" i="1"/>
  <c r="F49" i="1"/>
  <c r="F50" i="1"/>
  <c r="E19" i="1"/>
  <c r="E20" i="1"/>
  <c r="E21" i="1"/>
  <c r="E24" i="1"/>
  <c r="E25" i="1"/>
  <c r="E26" i="1"/>
  <c r="E27" i="1"/>
  <c r="E30" i="1"/>
  <c r="E31" i="1"/>
  <c r="E32" i="1"/>
  <c r="E33" i="1"/>
  <c r="E34" i="1"/>
  <c r="E35" i="1"/>
  <c r="E36" i="1"/>
  <c r="E37" i="1"/>
  <c r="E38" i="1"/>
  <c r="E39" i="1"/>
  <c r="E40" i="1"/>
  <c r="E41" i="1"/>
  <c r="E42" i="1"/>
  <c r="E43" i="1"/>
  <c r="E44" i="1"/>
  <c r="E45" i="1"/>
  <c r="E46" i="1"/>
  <c r="E47" i="1"/>
  <c r="E48" i="1"/>
  <c r="E49" i="1"/>
  <c r="E50" i="1"/>
  <c r="F7" i="1"/>
  <c r="E7" i="1"/>
  <c r="F18" i="1"/>
  <c r="E18" i="1"/>
  <c r="E12" i="1"/>
  <c r="F12" i="1"/>
  <c r="E13" i="1"/>
  <c r="F13" i="1"/>
  <c r="E14" i="1"/>
  <c r="F14" i="1"/>
  <c r="E15" i="1"/>
  <c r="F15" i="1"/>
  <c r="E16" i="1"/>
  <c r="F16" i="1"/>
  <c r="E17" i="1"/>
  <c r="F17" i="1"/>
  <c r="F3" i="1"/>
  <c r="F4" i="1"/>
  <c r="F5" i="1"/>
  <c r="F6" i="1"/>
  <c r="F8" i="1"/>
  <c r="F9" i="1"/>
  <c r="F11" i="1"/>
  <c r="F2" i="1"/>
  <c r="E11" i="1"/>
  <c r="E6" i="1"/>
  <c r="E8" i="1"/>
  <c r="E9" i="1"/>
  <c r="E4" i="1"/>
  <c r="E5" i="1"/>
  <c r="E3" i="1"/>
  <c r="E2" i="1"/>
  <c r="E7" i="2" l="1"/>
  <c r="D8" i="2"/>
  <c r="D7" i="2"/>
  <c r="F2" i="2"/>
  <c r="C12" i="2"/>
  <c r="E4" i="2"/>
  <c r="F10" i="2"/>
  <c r="C11" i="2"/>
  <c r="D11" i="2" s="1"/>
  <c r="C3" i="2"/>
  <c r="F7" i="2"/>
  <c r="F6" i="2"/>
  <c r="F5" i="2"/>
  <c r="F9" i="2"/>
  <c r="E5" i="2"/>
  <c r="E6" i="2"/>
  <c r="E11" i="2"/>
  <c r="E10" i="2"/>
  <c r="E9" i="2"/>
  <c r="F4" i="2"/>
  <c r="E8" i="2"/>
  <c r="F11" i="2" l="1"/>
  <c r="E12" i="2"/>
  <c r="D12" i="2"/>
  <c r="D3" i="2"/>
  <c r="F3" i="2"/>
  <c r="F12" i="2"/>
  <c r="D14" i="2" l="1"/>
  <c r="D21" i="2" s="1"/>
  <c r="C22" i="2"/>
  <c r="C21" i="2"/>
  <c r="F21" i="2"/>
  <c r="F14" i="2"/>
  <c r="C14" i="2"/>
  <c r="E14" i="2"/>
  <c r="E21" i="2"/>
</calcChain>
</file>

<file path=xl/sharedStrings.xml><?xml version="1.0" encoding="utf-8"?>
<sst xmlns="http://schemas.openxmlformats.org/spreadsheetml/2006/main" count="461" uniqueCount="161">
  <si>
    <t>ja</t>
  </si>
  <si>
    <t>nein</t>
  </si>
  <si>
    <t>PKV</t>
  </si>
  <si>
    <t>GKV</t>
  </si>
  <si>
    <t>Wie sind sie zurzeit krankenversichert?</t>
  </si>
  <si>
    <t>Waren Sie in den letzten fünf Jahren in einer deutschen GKV versichert</t>
  </si>
  <si>
    <t>anderweitig</t>
  </si>
  <si>
    <t>Waren Sie in den letzten fünf Jahren in einer ausländischen innerhalb der EU, der Schweiz, Norwegen, Grosss-Britanien, Ex Jugoslawien GKV versichert</t>
  </si>
  <si>
    <t>Waren Sie in den letzten 12 Monaten in einer ausländischen innerhalb der EU, der Schweiz, Norwegen, Grosss-Britanien, Ex Jugoslawien GKV versichert</t>
  </si>
  <si>
    <t>Frage</t>
  </si>
  <si>
    <t>Frage Nr.</t>
  </si>
  <si>
    <t>Wie alt sind Sie aktuell</t>
  </si>
  <si>
    <t>jünger als 55 Jahre</t>
  </si>
  <si>
    <t>älter als 54 Jahre</t>
  </si>
  <si>
    <t>Sind Sie zurzeit verheiratet</t>
  </si>
  <si>
    <t>Beabsichtigen Sie in naher Zukunft zu heiraten ?</t>
  </si>
  <si>
    <t>Wie ist Ihr Ehepartner zuzeit versichert?</t>
  </si>
  <si>
    <t>unversichert</t>
  </si>
  <si>
    <t>Sie sind zurzeit Angestellt tätig?</t>
  </si>
  <si>
    <t>sie sind zurzeit selbsttändig tätig?</t>
  </si>
  <si>
    <t>Sie beschäfigen Angestellte?</t>
  </si>
  <si>
    <t>bis 20</t>
  </si>
  <si>
    <t>bis 30</t>
  </si>
  <si>
    <t>Block</t>
  </si>
  <si>
    <t>Vorversicherung</t>
  </si>
  <si>
    <t>Familienstand</t>
  </si>
  <si>
    <t>Beruf</t>
  </si>
  <si>
    <t>Was macht ihr Ehepartner beruflich</t>
  </si>
  <si>
    <t>Angestellter</t>
  </si>
  <si>
    <t>Selbstständig</t>
  </si>
  <si>
    <t>Beamter</t>
  </si>
  <si>
    <t>Sind Sie Beamter</t>
  </si>
  <si>
    <t>Landwirt</t>
  </si>
  <si>
    <t>Sind Sie Landwirt</t>
  </si>
  <si>
    <t>Arbeitslos</t>
  </si>
  <si>
    <t>Sonstiges</t>
  </si>
  <si>
    <t>Kinder</t>
  </si>
  <si>
    <t>Wieviele Stiefkinder oder  adoptierte Kinder?</t>
  </si>
  <si>
    <t>Verdienen alle Angestellten  zusammen mehr als die Minijobgrenze</t>
  </si>
  <si>
    <t>Beziehen Sie Bürgergeld?</t>
  </si>
  <si>
    <t>Beziehen Sie Grundsicherung?</t>
  </si>
  <si>
    <r>
      <t xml:space="preserve">Letzte Krankenversicherung nach dem 01.04.2007 im Geltungsbereich Deutschland (inkl. Entsendungen) in der </t>
    </r>
    <r>
      <rPr>
        <sz val="11"/>
        <color rgb="FFFF0000"/>
        <rFont val="Aptos Narrow"/>
        <family val="2"/>
        <scheme val="minor"/>
      </rPr>
      <t>GKV</t>
    </r>
  </si>
  <si>
    <r>
      <t xml:space="preserve">Letzte Krankenversicherung nach dem 01.04.2007 im Geltungsbereich Deutschland (inkl. Entsendungen) in der </t>
    </r>
    <r>
      <rPr>
        <sz val="11"/>
        <color rgb="FFFF0000"/>
        <rFont val="Aptos Narrow"/>
        <family val="2"/>
        <scheme val="minor"/>
      </rPr>
      <t>PKV</t>
    </r>
  </si>
  <si>
    <r>
      <t>Letzte Krankenversicherung nach dem 01.04.2007 in der EU//EWR/Schweiz/GB/Mazedonien/Türkei oder Tunesien</t>
    </r>
    <r>
      <rPr>
        <sz val="11"/>
        <color rgb="FFFF0000"/>
        <rFont val="Aptos Narrow"/>
        <family val="2"/>
        <scheme val="minor"/>
      </rPr>
      <t xml:space="preserve"> in einer staatlichen KV</t>
    </r>
  </si>
  <si>
    <r>
      <t>Letzte Krankenversicherung nach dem 01.04.2007 in der EU//EWR/Schweiz/GB/Mazedonien/Türkei oder Tunesien</t>
    </r>
    <r>
      <rPr>
        <sz val="11"/>
        <color rgb="FFFF0000"/>
        <rFont val="Aptos Narrow"/>
        <family val="2"/>
        <scheme val="minor"/>
      </rPr>
      <t xml:space="preserve"> in einer privaten KV</t>
    </r>
  </si>
  <si>
    <r>
      <t xml:space="preserve">Am 1.4.2007 in Deutschland gelebt seit dem in BRD ohne GKV oder PKV-Vorversicherung und an diesem Tag in Deutschland </t>
    </r>
    <r>
      <rPr>
        <sz val="11"/>
        <color rgb="FFFF0000"/>
        <rFont val="Aptos Narrow"/>
        <family val="2"/>
        <scheme val="minor"/>
      </rPr>
      <t>versicherungsfrei</t>
    </r>
    <r>
      <rPr>
        <sz val="11"/>
        <color theme="1"/>
        <rFont val="Aptos Narrow"/>
        <family val="2"/>
        <scheme val="minor"/>
      </rPr>
      <t xml:space="preserve"> im Sinne SGB V § 6 (1+2) gewesen</t>
    </r>
  </si>
  <si>
    <r>
      <t xml:space="preserve">Am 1.4.2007 in Deutschland gelebt seit dem in BRD ohne GKV oder PKV-Vorversicherung und an diesem Tag in Deutschland </t>
    </r>
    <r>
      <rPr>
        <sz val="11"/>
        <color rgb="FFFF0000"/>
        <rFont val="Aptos Narrow"/>
        <family val="2"/>
        <scheme val="minor"/>
      </rPr>
      <t>nicht versicherungsfrei</t>
    </r>
    <r>
      <rPr>
        <sz val="11"/>
        <color theme="1"/>
        <rFont val="Aptos Narrow"/>
        <family val="2"/>
        <scheme val="minor"/>
      </rPr>
      <t xml:space="preserve"> im Sinne SGB V § 6 (1+2) gewesen</t>
    </r>
  </si>
  <si>
    <r>
      <t xml:space="preserve">Rückkehrer nach Deutschland aus der EU//EWR/Schweiz/GB/Mazedonien/Türkei oder Tunesien und dortige letzte Krankenversicherung </t>
    </r>
    <r>
      <rPr>
        <sz val="11"/>
        <color rgb="FFFF0000"/>
        <rFont val="Aptos Narrow"/>
        <family val="2"/>
        <scheme val="minor"/>
      </rPr>
      <t>ist eine staatliche KV</t>
    </r>
  </si>
  <si>
    <r>
      <t xml:space="preserve">Rückkehrer nach Deutschland aus der EU//EWR/Schweiz/GB/Mazedonien/Türkei oder Tunesien und dortige letzte Krankenversicherung </t>
    </r>
    <r>
      <rPr>
        <sz val="11"/>
        <color rgb="FFFF0000"/>
        <rFont val="Aptos Narrow"/>
        <family val="2"/>
        <scheme val="minor"/>
      </rPr>
      <t>ist eine private KV</t>
    </r>
  </si>
  <si>
    <r>
      <t xml:space="preserve">Rückkehrer nach Deutschland aus der EU//EWR/Schweiz/GB/Mazedonien/Türkei oder Tunesien und dortige letzte Krankenversicherung </t>
    </r>
    <r>
      <rPr>
        <sz val="11"/>
        <color rgb="FFFF0000"/>
        <rFont val="Aptos Narrow"/>
        <family val="2"/>
        <scheme val="minor"/>
      </rPr>
      <t>keine, da unversichert</t>
    </r>
  </si>
  <si>
    <r>
      <t xml:space="preserve">Rückkehrer nach Deutschland </t>
    </r>
    <r>
      <rPr>
        <sz val="11"/>
        <color rgb="FFFF0000"/>
        <rFont val="Aptos Narrow"/>
        <family val="2"/>
        <scheme val="minor"/>
      </rPr>
      <t xml:space="preserve">außerhalb </t>
    </r>
    <r>
      <rPr>
        <sz val="11"/>
        <color theme="1"/>
        <rFont val="Aptos Narrow"/>
        <family val="2"/>
        <scheme val="minor"/>
      </rPr>
      <t xml:space="preserve">der EU//EWR/Schweiz/GB/Mazedonien/Türkei oder Tunesien letzte Krankenversicherung in Deutschland/EU/EWR/CH </t>
    </r>
    <r>
      <rPr>
        <sz val="11"/>
        <color rgb="FFFF0000"/>
        <rFont val="Aptos Narrow"/>
        <family val="2"/>
        <scheme val="minor"/>
      </rPr>
      <t>ist eine staatliche KV</t>
    </r>
  </si>
  <si>
    <r>
      <t xml:space="preserve">Rückkehrer nach Deutschland </t>
    </r>
    <r>
      <rPr>
        <sz val="11"/>
        <color rgb="FFFF0000"/>
        <rFont val="Aptos Narrow"/>
        <family val="2"/>
        <scheme val="minor"/>
      </rPr>
      <t xml:space="preserve">außerhalb </t>
    </r>
    <r>
      <rPr>
        <sz val="11"/>
        <color theme="1"/>
        <rFont val="Aptos Narrow"/>
        <family val="2"/>
        <scheme val="minor"/>
      </rPr>
      <t xml:space="preserve">der EU//EWR/Schweiz/GB/Mazedonien/Türkei oder Tunesien letzte Krankenversicherung in Deutschland/EU/EWR/CH </t>
    </r>
    <r>
      <rPr>
        <sz val="11"/>
        <color rgb="FFFF0000"/>
        <rFont val="Aptos Narrow"/>
        <family val="2"/>
        <scheme val="minor"/>
      </rPr>
      <t>ist eine private KV</t>
    </r>
  </si>
  <si>
    <r>
      <t xml:space="preserve">Rückkehrer nach Deutschland </t>
    </r>
    <r>
      <rPr>
        <sz val="11"/>
        <color rgb="FFFF0000"/>
        <rFont val="Aptos Narrow"/>
        <family val="2"/>
        <scheme val="minor"/>
      </rPr>
      <t xml:space="preserve">außerhalb </t>
    </r>
    <r>
      <rPr>
        <sz val="11"/>
        <color theme="1"/>
        <rFont val="Aptos Narrow"/>
        <family val="2"/>
        <scheme val="minor"/>
      </rPr>
      <t xml:space="preserve">der EU//EWR/Schweiz/GB/Mazedonien/Türkei oder Tunesien letzte Krankenversicherung in Deutschland/EU/EWR/CH </t>
    </r>
    <r>
      <rPr>
        <sz val="11"/>
        <color rgb="FFFF0000"/>
        <rFont val="Aptos Narrow"/>
        <family val="2"/>
        <scheme val="minor"/>
      </rPr>
      <t>ist keine, da unversichert</t>
    </r>
  </si>
  <si>
    <t>Ausländer, die nicht Angehörige der EU/EWR/CH/GB sind und nach Deutschland ziehen und sie eine Niederlassungserlaubnis oder  Aufenthaltserlaubnis mit einer Befristung bis zwölf Monate besitzen und für die Erteilung dieser Aufenthaltstitel keine Verpflichtung zur Sicherung des Lebensunterhalts besteht</t>
  </si>
  <si>
    <r>
      <t>Erstmalig nach Deutschland gezogen  und letzte Tätigkeit im Ausland</t>
    </r>
    <r>
      <rPr>
        <sz val="11"/>
        <color rgb="FFFF0000"/>
        <rFont val="Aptos Narrow"/>
        <family val="2"/>
        <scheme val="minor"/>
      </rPr>
      <t xml:space="preserve"> versicherungsfrei</t>
    </r>
    <r>
      <rPr>
        <sz val="11"/>
        <color theme="1"/>
        <rFont val="Aptos Narrow"/>
        <family val="2"/>
        <scheme val="minor"/>
      </rPr>
      <t xml:space="preserve"> im Sinne SGB V § 6 (1+2) gewesen</t>
    </r>
  </si>
  <si>
    <r>
      <t xml:space="preserve">Erstmalig nach Deutschland gezogen  und letzte Tätigkeit im Ausland </t>
    </r>
    <r>
      <rPr>
        <sz val="11"/>
        <color rgb="FFFF0000"/>
        <rFont val="Aptos Narrow"/>
        <family val="2"/>
        <scheme val="minor"/>
      </rPr>
      <t xml:space="preserve">nicht versicherungsfrei </t>
    </r>
    <r>
      <rPr>
        <sz val="11"/>
        <color theme="1"/>
        <rFont val="Aptos Narrow"/>
        <family val="2"/>
        <scheme val="minor"/>
      </rPr>
      <t>im Sinne SGB V § 6 (1+2) gewesen</t>
    </r>
  </si>
  <si>
    <t>mögliche Antworten</t>
  </si>
  <si>
    <t>Anzahl der Antworten</t>
  </si>
  <si>
    <t>A1</t>
  </si>
  <si>
    <t>A2</t>
  </si>
  <si>
    <t>nach A2</t>
  </si>
  <si>
    <t>nach A1</t>
  </si>
  <si>
    <t>A3</t>
  </si>
  <si>
    <t>nach A3</t>
  </si>
  <si>
    <t>A4</t>
  </si>
  <si>
    <t>nach A4</t>
  </si>
  <si>
    <t>nach A5</t>
  </si>
  <si>
    <t>A5</t>
  </si>
  <si>
    <t>Antwortart</t>
  </si>
  <si>
    <t>one Choice</t>
  </si>
  <si>
    <t>ausländische KV</t>
  </si>
  <si>
    <t>Alter</t>
  </si>
  <si>
    <t>multiple Choice</t>
  </si>
  <si>
    <t>A6</t>
  </si>
  <si>
    <t>nach A6</t>
  </si>
  <si>
    <t>über 30</t>
  </si>
  <si>
    <t>Wieviele Wochenstuden arbeiten Sie als Selbstständiger</t>
  </si>
  <si>
    <t>Button</t>
  </si>
  <si>
    <t>V200</t>
  </si>
  <si>
    <t>V300</t>
  </si>
  <si>
    <t>V400</t>
  </si>
  <si>
    <t>A500</t>
  </si>
  <si>
    <t>F600</t>
  </si>
  <si>
    <t>F710</t>
  </si>
  <si>
    <t>F720</t>
  </si>
  <si>
    <t>F800</t>
  </si>
  <si>
    <t>B900</t>
  </si>
  <si>
    <t>B1000</t>
  </si>
  <si>
    <t>B1010</t>
  </si>
  <si>
    <t>B1011</t>
  </si>
  <si>
    <t>B1020</t>
  </si>
  <si>
    <t>B1100</t>
  </si>
  <si>
    <t>B1200</t>
  </si>
  <si>
    <t>Einnahmen</t>
  </si>
  <si>
    <t>ungeklärter Status</t>
  </si>
  <si>
    <t>K1</t>
  </si>
  <si>
    <t>K2</t>
  </si>
  <si>
    <t>K3</t>
  </si>
  <si>
    <t>E1</t>
  </si>
  <si>
    <t xml:space="preserve">Einnahmen aus sozialversicherungspflichtiger Tätigkeit, brutto im Monat </t>
  </si>
  <si>
    <t>Einnahmen aus einem Mini-Job pro Monat</t>
  </si>
  <si>
    <t>Gewinn aus selbstständiger Tätigkeit pro Monat (gemäß letztem Einkommenssteuerbescheid). Verluste mit minus eintragen.</t>
  </si>
  <si>
    <t>Gewinn aus Vermietung &amp; Verpachtung (gemäß letztem Einkommenssteuerbescheid). Verluste mit minus eintragen.</t>
  </si>
  <si>
    <t>Gewinn aus Kapitalerträgen (gemäß letztem Einkommenssteuerbescheid). Verluste mit minus eintragen.</t>
  </si>
  <si>
    <t>Betriebsrente pro Monat</t>
  </si>
  <si>
    <t>Staatlich geförderte Rente pro Monat</t>
  </si>
  <si>
    <t>Private Rente pro Monat</t>
  </si>
  <si>
    <t>Sonstige Einkünfte pro Monat</t>
  </si>
  <si>
    <t>E2</t>
  </si>
  <si>
    <t>E3</t>
  </si>
  <si>
    <t>E4</t>
  </si>
  <si>
    <t>E5</t>
  </si>
  <si>
    <t>E6</t>
  </si>
  <si>
    <t>E7</t>
  </si>
  <si>
    <t>E8</t>
  </si>
  <si>
    <t>E9</t>
  </si>
  <si>
    <t>E10</t>
  </si>
  <si>
    <t>E11</t>
  </si>
  <si>
    <t>Eingabefeld</t>
  </si>
  <si>
    <t>Wieviel Pflegekinder haben Sie betreut , auch wenn diese schon gestorben sind oder nicht mehr bei den Eltern leben?</t>
  </si>
  <si>
    <t>Wieviel leibliche Kinder haben sie gezeugt, auch wenn diese schon gestorben sind oder nicht mehr bei den Eltern leben?</t>
  </si>
  <si>
    <t>U1</t>
  </si>
  <si>
    <t>U2</t>
  </si>
  <si>
    <t>U3</t>
  </si>
  <si>
    <t>U4</t>
  </si>
  <si>
    <t>U5</t>
  </si>
  <si>
    <t>U6</t>
  </si>
  <si>
    <t>U7</t>
  </si>
  <si>
    <t>U8</t>
  </si>
  <si>
    <t>U9</t>
  </si>
  <si>
    <t>U10</t>
  </si>
  <si>
    <t>U11</t>
  </si>
  <si>
    <t>U12</t>
  </si>
  <si>
    <t>U13</t>
  </si>
  <si>
    <t>U14</t>
  </si>
  <si>
    <t>U15</t>
  </si>
  <si>
    <t>F721</t>
  </si>
  <si>
    <t>Wie ist Ihr möglicher Ehepartner zuzeit versichert?</t>
  </si>
  <si>
    <t>Ganze Zahl</t>
  </si>
  <si>
    <t>EUR</t>
  </si>
  <si>
    <t>Ergebnis</t>
  </si>
  <si>
    <t>Ende</t>
  </si>
  <si>
    <t>K4</t>
  </si>
  <si>
    <t>Bei wieviel Kindern sind Sie im Rahmen der Kinderbetreuung zu Hause geblieben</t>
  </si>
  <si>
    <t>Kindererziehung  Anzahl der Kinder</t>
  </si>
  <si>
    <t>E55</t>
  </si>
  <si>
    <t>Entgeltpunkt</t>
  </si>
  <si>
    <t>1/7 Bezugsgröße</t>
  </si>
  <si>
    <t>Mini Job</t>
  </si>
  <si>
    <t>Altersrente der deutschen Rentenversicherung  ohne KV-Zuschuss</t>
  </si>
  <si>
    <t>Best Case</t>
  </si>
  <si>
    <t>Teilrente Best Case</t>
  </si>
  <si>
    <t>E56</t>
  </si>
  <si>
    <t>Altersrente aus einem Versorgungswerk</t>
  </si>
  <si>
    <t>Fami Normal</t>
  </si>
  <si>
    <t>Ergebnisse</t>
  </si>
  <si>
    <t>Fami möglich</t>
  </si>
  <si>
    <t>Fami mit Mini Job</t>
  </si>
  <si>
    <t>Grenze</t>
  </si>
  <si>
    <t>Beschreibung</t>
  </si>
  <si>
    <t>Empfehlung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</si>
</sst>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sz val="14"/>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0" xfId="0" applyFont="1"/>
    <xf numFmtId="0" fontId="2" fillId="0" borderId="0" xfId="0" applyFont="1" applyAlignment="1">
      <alignment horizontal="left" vertical="center"/>
    </xf>
    <xf numFmtId="0" fontId="2" fillId="0" borderId="0" xfId="0" applyFont="1" applyAlignment="1">
      <alignment horizontal="left"/>
    </xf>
    <xf numFmtId="0" fontId="0" fillId="0" borderId="1" xfId="0" applyBorder="1" applyAlignment="1">
      <alignment vertical="top" wrapText="1"/>
    </xf>
    <xf numFmtId="0" fontId="2" fillId="0" borderId="0" xfId="0" applyFont="1" applyAlignment="1">
      <alignment horizontal="center"/>
    </xf>
    <xf numFmtId="20" fontId="2" fillId="0" borderId="0" xfId="0" applyNumberFormat="1" applyFont="1" applyAlignment="1">
      <alignment horizontal="left"/>
    </xf>
    <xf numFmtId="49" fontId="0" fillId="0" borderId="0" xfId="0" applyNumberFormat="1"/>
    <xf numFmtId="0" fontId="2" fillId="0" borderId="0" xfId="0" applyFont="1" applyAlignment="1">
      <alignment horizontal="left" vertical="center"/>
    </xf>
    <xf numFmtId="0" fontId="0" fillId="0" borderId="0" xfId="0" applyAlignment="1">
      <alignment horizontal="left"/>
    </xf>
  </cellXfs>
  <cellStyles count="1">
    <cellStyle name="Standard"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81FF-821C-4A5E-A20A-9FA496551693}">
  <dimension ref="A1:T52"/>
  <sheetViews>
    <sheetView tabSelected="1" topLeftCell="A13" zoomScale="97" workbookViewId="0">
      <selection activeCell="C14" sqref="C14"/>
    </sheetView>
  </sheetViews>
  <sheetFormatPr baseColWidth="10" defaultColWidth="11.44140625" defaultRowHeight="18" x14ac:dyDescent="0.35"/>
  <cols>
    <col min="1" max="1" width="19.109375" style="1" bestFit="1" customWidth="1"/>
    <col min="2" max="2" width="11.109375" style="3" bestFit="1" customWidth="1"/>
    <col min="3" max="3" width="11.109375" style="3" customWidth="1"/>
    <col min="4" max="4" width="44.109375" style="1" bestFit="1" customWidth="1"/>
    <col min="5" max="5" width="38.88671875" style="1" bestFit="1" customWidth="1"/>
    <col min="6" max="6" width="24.44140625" style="1" customWidth="1"/>
    <col min="7" max="7" width="12.88671875" style="1" bestFit="1" customWidth="1"/>
    <col min="8" max="8" width="13.109375" style="1" customWidth="1"/>
    <col min="9" max="9" width="6.6640625" style="1" customWidth="1"/>
    <col min="10" max="10" width="10.109375" style="3" bestFit="1" customWidth="1"/>
    <col min="11" max="11" width="6" style="1" bestFit="1" customWidth="1"/>
    <col min="12" max="12" width="10.109375" style="1" bestFit="1" customWidth="1"/>
    <col min="13" max="13" width="4.109375" style="1" bestFit="1" customWidth="1"/>
    <col min="14" max="14" width="10.109375" style="1" bestFit="1" customWidth="1"/>
    <col min="15" max="15" width="4.109375" style="1" bestFit="1" customWidth="1"/>
    <col min="16" max="16" width="10.109375" style="1" bestFit="1" customWidth="1"/>
    <col min="17" max="17" width="4.109375" style="1" bestFit="1" customWidth="1"/>
    <col min="18" max="18" width="10.109375" style="1" bestFit="1" customWidth="1"/>
    <col min="19" max="16384" width="11.44140625" style="1"/>
  </cols>
  <sheetData>
    <row r="1" spans="1:20" x14ac:dyDescent="0.35">
      <c r="A1" s="1" t="s">
        <v>23</v>
      </c>
      <c r="B1" s="3" t="s">
        <v>10</v>
      </c>
      <c r="C1" s="1"/>
      <c r="D1" s="1" t="s">
        <v>9</v>
      </c>
      <c r="E1" s="1" t="s">
        <v>56</v>
      </c>
      <c r="F1" s="1" t="s">
        <v>57</v>
      </c>
      <c r="G1" s="1" t="s">
        <v>68</v>
      </c>
      <c r="H1" s="1" t="s">
        <v>68</v>
      </c>
      <c r="I1" s="1" t="s">
        <v>58</v>
      </c>
      <c r="J1" s="3" t="s">
        <v>61</v>
      </c>
      <c r="K1" s="1" t="s">
        <v>59</v>
      </c>
      <c r="L1" s="3" t="s">
        <v>60</v>
      </c>
      <c r="M1" s="1" t="s">
        <v>62</v>
      </c>
      <c r="N1" s="3" t="s">
        <v>63</v>
      </c>
      <c r="O1" s="1" t="s">
        <v>64</v>
      </c>
      <c r="P1" s="3" t="s">
        <v>65</v>
      </c>
      <c r="Q1" s="1" t="s">
        <v>67</v>
      </c>
      <c r="R1" s="3" t="s">
        <v>66</v>
      </c>
      <c r="S1" s="1" t="s">
        <v>73</v>
      </c>
      <c r="T1" s="3" t="s">
        <v>74</v>
      </c>
    </row>
    <row r="2" spans="1:20" x14ac:dyDescent="0.35">
      <c r="A2" s="1" t="s">
        <v>24</v>
      </c>
      <c r="B2" s="2">
        <v>1</v>
      </c>
      <c r="C2" s="8"/>
      <c r="D2" s="1" t="s">
        <v>4</v>
      </c>
      <c r="E2" s="1" t="str">
        <f>I2&amp;IF(K2="","",";"&amp;K2)&amp;IF(M2="","",";"&amp;M2)&amp;IF(O2="","",";"&amp;O2)&amp;IF(Q2="","",";"&amp;Q2)&amp;IF(T2="","",";"&amp;T2)</f>
        <v>GKV;PKV;ausländische KV;unversichert;anderweitig;U1</v>
      </c>
      <c r="F2" s="5">
        <f>IF(I2="",0,1)+IF(K2="",0,1)+IF(M2="",0,1)+IF(O2="",0,1)+IF(Q2="",0,1)+IF(S2="",0,1)</f>
        <v>6</v>
      </c>
      <c r="G2" s="5" t="s">
        <v>77</v>
      </c>
      <c r="H2" s="1" t="s">
        <v>69</v>
      </c>
      <c r="I2" s="1" t="s">
        <v>3</v>
      </c>
      <c r="J2" s="3" t="s">
        <v>78</v>
      </c>
      <c r="K2" s="1" t="s">
        <v>2</v>
      </c>
      <c r="L2" s="1" t="s">
        <v>78</v>
      </c>
      <c r="M2" s="1" t="s">
        <v>70</v>
      </c>
      <c r="N2" s="1" t="s">
        <v>78</v>
      </c>
      <c r="O2" s="1" t="s">
        <v>17</v>
      </c>
      <c r="P2" s="1" t="s">
        <v>121</v>
      </c>
      <c r="Q2" s="1" t="s">
        <v>6</v>
      </c>
      <c r="R2" s="1" t="s">
        <v>78</v>
      </c>
      <c r="S2" s="1" t="s">
        <v>94</v>
      </c>
      <c r="T2" s="1" t="s">
        <v>121</v>
      </c>
    </row>
    <row r="3" spans="1:20" x14ac:dyDescent="0.35">
      <c r="A3" s="1" t="s">
        <v>24</v>
      </c>
      <c r="B3" s="3" t="s">
        <v>78</v>
      </c>
      <c r="C3" s="9"/>
      <c r="D3" s="1" t="s">
        <v>5</v>
      </c>
      <c r="E3" s="1" t="str">
        <f>I3&amp;IF(K3="","",";"&amp;K3)&amp;IF(M3="","",";"&amp;M3)&amp;IF(O3="","",";"&amp;O3)&amp;IF(Q3="","",";"&amp;Q3)&amp;IF(T3="","",";"&amp;T3)</f>
        <v>ja;nein</v>
      </c>
      <c r="F3" s="5">
        <f t="shared" ref="F3:F11" si="0">IF(I3="",0,1)+IF(K3="",0,1)+IF(M3="",0,1)+IF(O3="",0,1)+IF(Q3="",0,1)+IF(S3="",0,1)</f>
        <v>2</v>
      </c>
      <c r="G3" s="5" t="s">
        <v>77</v>
      </c>
      <c r="H3" s="1" t="s">
        <v>69</v>
      </c>
      <c r="I3" s="1" t="s">
        <v>0</v>
      </c>
      <c r="J3" s="3" t="s">
        <v>79</v>
      </c>
      <c r="K3" s="1" t="s">
        <v>1</v>
      </c>
      <c r="L3" s="3" t="s">
        <v>79</v>
      </c>
    </row>
    <row r="4" spans="1:20" x14ac:dyDescent="0.35">
      <c r="A4" s="1" t="s">
        <v>24</v>
      </c>
      <c r="B4" s="3" t="s">
        <v>79</v>
      </c>
      <c r="D4" s="1" t="s">
        <v>7</v>
      </c>
      <c r="E4" s="1" t="str">
        <f t="shared" ref="E4:E11" si="1">I4&amp;IF(K4="","",";"&amp;K4)&amp;IF(M4="","",";"&amp;M4)&amp;IF(O4="","",";"&amp;O4)&amp;IF(Q4="","",";"&amp;Q4)&amp;IF(T4="","",";"&amp;T4)</f>
        <v>ja;nein</v>
      </c>
      <c r="F4" s="5">
        <f t="shared" si="0"/>
        <v>2</v>
      </c>
      <c r="G4" s="5" t="s">
        <v>77</v>
      </c>
      <c r="H4" s="1" t="s">
        <v>69</v>
      </c>
      <c r="I4" s="1" t="s">
        <v>0</v>
      </c>
      <c r="J4" s="3" t="s">
        <v>80</v>
      </c>
      <c r="K4" s="1" t="s">
        <v>1</v>
      </c>
      <c r="L4" s="3" t="s">
        <v>80</v>
      </c>
    </row>
    <row r="5" spans="1:20" x14ac:dyDescent="0.35">
      <c r="A5" s="1" t="s">
        <v>24</v>
      </c>
      <c r="B5" s="3" t="s">
        <v>80</v>
      </c>
      <c r="D5" s="1" t="s">
        <v>8</v>
      </c>
      <c r="E5" s="1" t="str">
        <f t="shared" si="1"/>
        <v>ja;nein</v>
      </c>
      <c r="F5" s="5">
        <f t="shared" si="0"/>
        <v>2</v>
      </c>
      <c r="G5" s="5" t="s">
        <v>77</v>
      </c>
      <c r="H5" s="1" t="s">
        <v>69</v>
      </c>
      <c r="I5" s="1" t="s">
        <v>0</v>
      </c>
      <c r="J5" s="3" t="s">
        <v>81</v>
      </c>
      <c r="K5" s="1" t="s">
        <v>1</v>
      </c>
      <c r="L5" s="3" t="s">
        <v>81</v>
      </c>
    </row>
    <row r="6" spans="1:20" x14ac:dyDescent="0.35">
      <c r="A6" s="1" t="s">
        <v>71</v>
      </c>
      <c r="B6" s="3" t="s">
        <v>81</v>
      </c>
      <c r="D6" s="1" t="s">
        <v>11</v>
      </c>
      <c r="E6" s="1" t="str">
        <f t="shared" si="1"/>
        <v>jünger als 55 Jahre;älter als 54 Jahre</v>
      </c>
      <c r="F6" s="5">
        <f t="shared" si="0"/>
        <v>2</v>
      </c>
      <c r="G6" s="5" t="s">
        <v>77</v>
      </c>
      <c r="H6" s="1" t="s">
        <v>69</v>
      </c>
      <c r="I6" s="1" t="s">
        <v>12</v>
      </c>
      <c r="J6" s="3" t="s">
        <v>82</v>
      </c>
      <c r="K6" s="1" t="s">
        <v>13</v>
      </c>
      <c r="L6" s="1" t="s">
        <v>82</v>
      </c>
    </row>
    <row r="7" spans="1:20" x14ac:dyDescent="0.35">
      <c r="A7" s="1" t="s">
        <v>25</v>
      </c>
      <c r="B7" s="3" t="s">
        <v>82</v>
      </c>
      <c r="D7" s="1" t="s">
        <v>14</v>
      </c>
      <c r="E7" s="1" t="str">
        <f t="shared" si="1"/>
        <v>ja;nein</v>
      </c>
      <c r="F7" s="5">
        <f t="shared" si="0"/>
        <v>2</v>
      </c>
      <c r="G7" s="5" t="s">
        <v>77</v>
      </c>
      <c r="H7" s="1" t="s">
        <v>69</v>
      </c>
      <c r="I7" s="1" t="s">
        <v>0</v>
      </c>
      <c r="J7" s="3" t="s">
        <v>84</v>
      </c>
      <c r="K7" s="1" t="s">
        <v>1</v>
      </c>
      <c r="L7" s="1" t="s">
        <v>83</v>
      </c>
    </row>
    <row r="8" spans="1:20" x14ac:dyDescent="0.35">
      <c r="A8" s="1" t="s">
        <v>25</v>
      </c>
      <c r="B8" s="3" t="s">
        <v>83</v>
      </c>
      <c r="D8" s="1" t="s">
        <v>15</v>
      </c>
      <c r="E8" s="1" t="str">
        <f t="shared" si="1"/>
        <v>ja;nein</v>
      </c>
      <c r="F8" s="5">
        <f t="shared" si="0"/>
        <v>2</v>
      </c>
      <c r="G8" s="5" t="s">
        <v>77</v>
      </c>
      <c r="H8" s="1" t="s">
        <v>69</v>
      </c>
      <c r="I8" s="1" t="s">
        <v>0</v>
      </c>
      <c r="J8" s="3" t="s">
        <v>136</v>
      </c>
      <c r="K8" s="1" t="s">
        <v>1</v>
      </c>
      <c r="L8" s="1" t="s">
        <v>86</v>
      </c>
    </row>
    <row r="9" spans="1:20" x14ac:dyDescent="0.35">
      <c r="A9" s="1" t="s">
        <v>25</v>
      </c>
      <c r="B9" s="3" t="s">
        <v>84</v>
      </c>
      <c r="D9" s="1" t="s">
        <v>16</v>
      </c>
      <c r="E9" s="1" t="str">
        <f t="shared" si="1"/>
        <v>GKV;PKV;ausländische KV;unversichert;anderweitig</v>
      </c>
      <c r="F9" s="5">
        <f t="shared" si="0"/>
        <v>5</v>
      </c>
      <c r="G9" s="5" t="s">
        <v>77</v>
      </c>
      <c r="H9" s="1" t="s">
        <v>69</v>
      </c>
      <c r="I9" s="1" t="s">
        <v>3</v>
      </c>
      <c r="J9" s="3" t="s">
        <v>85</v>
      </c>
      <c r="K9" s="1" t="s">
        <v>2</v>
      </c>
      <c r="L9" s="1" t="s">
        <v>85</v>
      </c>
      <c r="M9" s="1" t="s">
        <v>70</v>
      </c>
      <c r="N9" s="1" t="s">
        <v>85</v>
      </c>
      <c r="O9" s="1" t="s">
        <v>17</v>
      </c>
      <c r="P9" s="1" t="s">
        <v>85</v>
      </c>
      <c r="Q9" s="1" t="s">
        <v>6</v>
      </c>
      <c r="R9" s="1" t="s">
        <v>85</v>
      </c>
    </row>
    <row r="10" spans="1:20" x14ac:dyDescent="0.35">
      <c r="A10" s="1" t="s">
        <v>25</v>
      </c>
      <c r="B10" s="3" t="s">
        <v>136</v>
      </c>
      <c r="D10" s="1" t="s">
        <v>137</v>
      </c>
      <c r="E10" s="1" t="str">
        <f t="shared" ref="E10" si="2">I10&amp;IF(K10="","",";"&amp;K10)&amp;IF(M10="","",";"&amp;M10)&amp;IF(O10="","",";"&amp;O10)&amp;IF(Q10="","",";"&amp;Q10)&amp;IF(T10="","",";"&amp;T10)</f>
        <v>GKV;PKV;ausländische KV;unversichert;anderweitig</v>
      </c>
      <c r="F10" s="5">
        <f t="shared" ref="F10" si="3">IF(I10="",0,1)+IF(K10="",0,1)+IF(M10="",0,1)+IF(O10="",0,1)+IF(Q10="",0,1)+IF(S10="",0,1)</f>
        <v>5</v>
      </c>
      <c r="G10" s="5" t="s">
        <v>77</v>
      </c>
      <c r="H10" s="1" t="s">
        <v>69</v>
      </c>
      <c r="I10" s="1" t="s">
        <v>3</v>
      </c>
      <c r="J10" s="3" t="s">
        <v>85</v>
      </c>
      <c r="K10" s="1" t="s">
        <v>2</v>
      </c>
      <c r="L10" s="3" t="s">
        <v>85</v>
      </c>
      <c r="M10" s="1" t="s">
        <v>70</v>
      </c>
      <c r="N10" s="3" t="s">
        <v>85</v>
      </c>
      <c r="O10" s="1" t="s">
        <v>17</v>
      </c>
      <c r="P10" s="3" t="s">
        <v>85</v>
      </c>
      <c r="Q10" s="1" t="s">
        <v>6</v>
      </c>
      <c r="R10" s="3" t="s">
        <v>85</v>
      </c>
    </row>
    <row r="11" spans="1:20" x14ac:dyDescent="0.35">
      <c r="A11" s="1" t="s">
        <v>25</v>
      </c>
      <c r="B11" s="6" t="s">
        <v>85</v>
      </c>
      <c r="D11" s="1" t="s">
        <v>27</v>
      </c>
      <c r="E11" s="1" t="str">
        <f t="shared" si="1"/>
        <v>Angestellter;Selbstständig;Beamter;Landwirt;Arbeitslos;B900</v>
      </c>
      <c r="F11" s="5">
        <f t="shared" si="0"/>
        <v>6</v>
      </c>
      <c r="G11" s="5" t="s">
        <v>77</v>
      </c>
      <c r="H11" s="1" t="s">
        <v>72</v>
      </c>
      <c r="I11" s="1" t="s">
        <v>28</v>
      </c>
      <c r="J11" s="3" t="s">
        <v>86</v>
      </c>
      <c r="K11" s="1" t="s">
        <v>29</v>
      </c>
      <c r="L11" s="1" t="s">
        <v>86</v>
      </c>
      <c r="M11" s="1" t="s">
        <v>30</v>
      </c>
      <c r="N11" s="1" t="s">
        <v>86</v>
      </c>
      <c r="O11" s="1" t="s">
        <v>32</v>
      </c>
      <c r="P11" s="1" t="s">
        <v>86</v>
      </c>
      <c r="Q11" s="1" t="s">
        <v>34</v>
      </c>
      <c r="R11" s="1" t="s">
        <v>86</v>
      </c>
      <c r="S11" s="1" t="s">
        <v>35</v>
      </c>
      <c r="T11" s="1" t="s">
        <v>86</v>
      </c>
    </row>
    <row r="12" spans="1:20" x14ac:dyDescent="0.35">
      <c r="A12" s="1" t="s">
        <v>26</v>
      </c>
      <c r="B12" s="3" t="s">
        <v>86</v>
      </c>
      <c r="D12" s="1" t="s">
        <v>18</v>
      </c>
      <c r="E12" s="1" t="str">
        <f t="shared" ref="E12:E17" si="4">I12&amp;IF(K12="","",";"&amp;K12)&amp;IF(M12="","",";"&amp;M12)&amp;IF(O12="","",";"&amp;O12)&amp;IF(Q12="","",";"&amp;Q12)&amp;IF(T12="","",";"&amp;T12)</f>
        <v>ja;nein</v>
      </c>
      <c r="F12" s="5">
        <f t="shared" ref="F12:F17" si="5">IF(I12="",0,1)+IF(K12="",0,1)+IF(M12="",0,1)+IF(O12="",0,1)+IF(Q12="",0,1)+IF(S12="",0,1)</f>
        <v>2</v>
      </c>
      <c r="G12" s="5" t="s">
        <v>77</v>
      </c>
      <c r="H12" s="1" t="s">
        <v>69</v>
      </c>
      <c r="I12" s="1" t="s">
        <v>0</v>
      </c>
      <c r="J12" s="3" t="s">
        <v>87</v>
      </c>
      <c r="K12" s="1" t="s">
        <v>1</v>
      </c>
      <c r="L12" s="1" t="s">
        <v>87</v>
      </c>
    </row>
    <row r="13" spans="1:20" x14ac:dyDescent="0.35">
      <c r="A13" s="1" t="s">
        <v>26</v>
      </c>
      <c r="B13" s="3" t="s">
        <v>87</v>
      </c>
      <c r="D13" s="1" t="s">
        <v>19</v>
      </c>
      <c r="E13" s="1" t="str">
        <f t="shared" si="4"/>
        <v>ja;nein</v>
      </c>
      <c r="F13" s="5">
        <f t="shared" si="5"/>
        <v>2</v>
      </c>
      <c r="G13" s="5" t="s">
        <v>77</v>
      </c>
      <c r="H13" s="1" t="s">
        <v>69</v>
      </c>
      <c r="I13" s="1" t="s">
        <v>0</v>
      </c>
      <c r="J13" s="3" t="s">
        <v>88</v>
      </c>
      <c r="K13" s="1" t="s">
        <v>1</v>
      </c>
      <c r="L13" s="1" t="s">
        <v>91</v>
      </c>
    </row>
    <row r="14" spans="1:20" x14ac:dyDescent="0.35">
      <c r="A14" s="1" t="s">
        <v>26</v>
      </c>
      <c r="B14" s="3" t="s">
        <v>88</v>
      </c>
      <c r="D14" s="1" t="s">
        <v>20</v>
      </c>
      <c r="E14" s="1" t="str">
        <f t="shared" si="4"/>
        <v>ja;nein</v>
      </c>
      <c r="F14" s="5">
        <f t="shared" si="5"/>
        <v>2</v>
      </c>
      <c r="G14" s="5" t="s">
        <v>77</v>
      </c>
      <c r="H14" s="1" t="s">
        <v>69</v>
      </c>
      <c r="I14" s="1" t="s">
        <v>0</v>
      </c>
      <c r="J14" s="3" t="s">
        <v>89</v>
      </c>
      <c r="K14" s="1" t="s">
        <v>1</v>
      </c>
      <c r="L14" s="1" t="s">
        <v>90</v>
      </c>
    </row>
    <row r="15" spans="1:20" x14ac:dyDescent="0.35">
      <c r="A15" s="1" t="s">
        <v>26</v>
      </c>
      <c r="B15" s="3" t="s">
        <v>89</v>
      </c>
      <c r="D15" s="1" t="s">
        <v>38</v>
      </c>
      <c r="E15" s="1" t="str">
        <f t="shared" si="4"/>
        <v>ja;nein</v>
      </c>
      <c r="F15" s="5">
        <f t="shared" si="5"/>
        <v>2</v>
      </c>
      <c r="G15" s="5" t="s">
        <v>77</v>
      </c>
      <c r="H15" s="1" t="s">
        <v>69</v>
      </c>
      <c r="I15" s="1" t="s">
        <v>0</v>
      </c>
      <c r="J15" s="3" t="s">
        <v>90</v>
      </c>
      <c r="K15" s="1" t="s">
        <v>1</v>
      </c>
      <c r="L15" s="1" t="s">
        <v>90</v>
      </c>
    </row>
    <row r="16" spans="1:20" x14ac:dyDescent="0.35">
      <c r="A16" s="1" t="s">
        <v>26</v>
      </c>
      <c r="B16" s="3" t="s">
        <v>90</v>
      </c>
      <c r="D16" s="1" t="s">
        <v>76</v>
      </c>
      <c r="E16" s="1" t="str">
        <f t="shared" si="4"/>
        <v>bis 20;bis 30;über 30</v>
      </c>
      <c r="F16" s="5">
        <f t="shared" si="5"/>
        <v>3</v>
      </c>
      <c r="G16" s="5" t="s">
        <v>77</v>
      </c>
      <c r="H16" s="1" t="s">
        <v>69</v>
      </c>
      <c r="I16" s="1" t="s">
        <v>21</v>
      </c>
      <c r="J16" s="3" t="s">
        <v>91</v>
      </c>
      <c r="K16" s="1" t="s">
        <v>22</v>
      </c>
      <c r="L16" s="1" t="s">
        <v>91</v>
      </c>
      <c r="M16" s="1" t="s">
        <v>75</v>
      </c>
      <c r="N16" s="1" t="s">
        <v>91</v>
      </c>
    </row>
    <row r="17" spans="1:12" x14ac:dyDescent="0.35">
      <c r="A17" s="1" t="s">
        <v>26</v>
      </c>
      <c r="B17" s="3" t="s">
        <v>91</v>
      </c>
      <c r="D17" s="1" t="s">
        <v>31</v>
      </c>
      <c r="E17" s="1" t="str">
        <f t="shared" si="4"/>
        <v>ja;nein</v>
      </c>
      <c r="F17" s="5">
        <f t="shared" si="5"/>
        <v>2</v>
      </c>
      <c r="G17" s="5" t="s">
        <v>77</v>
      </c>
      <c r="H17" s="1" t="s">
        <v>69</v>
      </c>
      <c r="I17" s="1" t="s">
        <v>0</v>
      </c>
      <c r="J17" s="1" t="s">
        <v>92</v>
      </c>
      <c r="K17" s="1" t="s">
        <v>1</v>
      </c>
      <c r="L17" s="1" t="s">
        <v>92</v>
      </c>
    </row>
    <row r="18" spans="1:12" x14ac:dyDescent="0.35">
      <c r="A18" s="1" t="s">
        <v>26</v>
      </c>
      <c r="B18" s="3" t="s">
        <v>92</v>
      </c>
      <c r="D18" s="1" t="s">
        <v>33</v>
      </c>
      <c r="E18" s="1" t="str">
        <f t="shared" ref="E18:E50" si="6">I18&amp;IF(K18="","",";"&amp;K18)&amp;IF(M18="","",";"&amp;M18)&amp;IF(O18="","",";"&amp;O18)&amp;IF(Q18="","",";"&amp;Q18)&amp;IF(T18="","",";"&amp;T18)</f>
        <v>ja;nein</v>
      </c>
      <c r="F18" s="5">
        <f t="shared" ref="F18:F50" si="7">IF(I18="",0,1)+IF(K18="",0,1)+IF(M18="",0,1)+IF(O18="",0,1)+IF(Q18="",0,1)+IF(S18="",0,1)</f>
        <v>2</v>
      </c>
      <c r="G18" s="5" t="s">
        <v>77</v>
      </c>
      <c r="H18" s="1" t="s">
        <v>69</v>
      </c>
      <c r="I18" s="1" t="s">
        <v>0</v>
      </c>
      <c r="J18" s="1" t="s">
        <v>95</v>
      </c>
      <c r="K18" s="1" t="s">
        <v>1</v>
      </c>
      <c r="L18" s="1" t="s">
        <v>95</v>
      </c>
    </row>
    <row r="19" spans="1:12" x14ac:dyDescent="0.35">
      <c r="A19" s="1" t="s">
        <v>36</v>
      </c>
      <c r="B19" s="3" t="s">
        <v>95</v>
      </c>
      <c r="D19" s="1" t="s">
        <v>120</v>
      </c>
      <c r="E19" s="1" t="str">
        <f t="shared" si="6"/>
        <v/>
      </c>
      <c r="F19" s="5">
        <f t="shared" si="7"/>
        <v>0</v>
      </c>
      <c r="G19" s="1" t="s">
        <v>118</v>
      </c>
      <c r="H19" s="1" t="s">
        <v>138</v>
      </c>
      <c r="J19" s="1" t="s">
        <v>96</v>
      </c>
    </row>
    <row r="20" spans="1:12" x14ac:dyDescent="0.35">
      <c r="A20" s="1" t="s">
        <v>36</v>
      </c>
      <c r="B20" s="3" t="s">
        <v>96</v>
      </c>
      <c r="D20" s="1" t="s">
        <v>119</v>
      </c>
      <c r="E20" s="1" t="str">
        <f t="shared" si="6"/>
        <v/>
      </c>
      <c r="F20" s="5">
        <f t="shared" si="7"/>
        <v>0</v>
      </c>
      <c r="G20" s="1" t="s">
        <v>118</v>
      </c>
      <c r="H20" s="1" t="s">
        <v>138</v>
      </c>
      <c r="J20" s="1" t="s">
        <v>97</v>
      </c>
    </row>
    <row r="21" spans="1:12" x14ac:dyDescent="0.35">
      <c r="A21" s="1" t="s">
        <v>36</v>
      </c>
      <c r="B21" s="3" t="s">
        <v>97</v>
      </c>
      <c r="D21" s="1" t="s">
        <v>37</v>
      </c>
      <c r="E21" s="1" t="str">
        <f t="shared" si="6"/>
        <v/>
      </c>
      <c r="F21" s="5">
        <f t="shared" si="7"/>
        <v>0</v>
      </c>
      <c r="G21" s="1" t="s">
        <v>118</v>
      </c>
      <c r="H21" s="1" t="s">
        <v>138</v>
      </c>
      <c r="J21" s="1" t="s">
        <v>142</v>
      </c>
    </row>
    <row r="22" spans="1:12" x14ac:dyDescent="0.35">
      <c r="A22" s="1" t="s">
        <v>36</v>
      </c>
      <c r="B22" s="3" t="s">
        <v>142</v>
      </c>
      <c r="D22" s="1" t="s">
        <v>143</v>
      </c>
      <c r="F22" s="5">
        <f t="shared" si="7"/>
        <v>0</v>
      </c>
      <c r="G22" s="1" t="s">
        <v>118</v>
      </c>
      <c r="H22" s="1" t="s">
        <v>138</v>
      </c>
      <c r="J22" s="1" t="s">
        <v>98</v>
      </c>
    </row>
    <row r="23" spans="1:12" x14ac:dyDescent="0.35">
      <c r="A23" s="1" t="s">
        <v>93</v>
      </c>
      <c r="B23" s="3" t="s">
        <v>98</v>
      </c>
      <c r="D23" s="1" t="s">
        <v>99</v>
      </c>
      <c r="E23" s="1" t="str">
        <f t="shared" si="6"/>
        <v/>
      </c>
      <c r="F23" s="5">
        <f t="shared" si="7"/>
        <v>0</v>
      </c>
      <c r="G23" s="1" t="s">
        <v>118</v>
      </c>
      <c r="H23" s="1" t="s">
        <v>139</v>
      </c>
      <c r="J23" s="1" t="s">
        <v>108</v>
      </c>
    </row>
    <row r="24" spans="1:12" x14ac:dyDescent="0.35">
      <c r="A24" s="1" t="s">
        <v>93</v>
      </c>
      <c r="B24" s="3" t="s">
        <v>108</v>
      </c>
      <c r="D24" s="1" t="s">
        <v>100</v>
      </c>
      <c r="E24" s="1" t="str">
        <f t="shared" si="6"/>
        <v/>
      </c>
      <c r="F24" s="5">
        <f t="shared" si="7"/>
        <v>0</v>
      </c>
      <c r="G24" s="1" t="s">
        <v>118</v>
      </c>
      <c r="H24" s="1" t="s">
        <v>139</v>
      </c>
      <c r="J24" s="1" t="s">
        <v>109</v>
      </c>
    </row>
    <row r="25" spans="1:12" x14ac:dyDescent="0.35">
      <c r="A25" s="1" t="s">
        <v>93</v>
      </c>
      <c r="B25" s="3" t="s">
        <v>109</v>
      </c>
      <c r="D25" s="1" t="s">
        <v>101</v>
      </c>
      <c r="E25" s="1" t="str">
        <f t="shared" si="6"/>
        <v/>
      </c>
      <c r="F25" s="5">
        <f t="shared" si="7"/>
        <v>0</v>
      </c>
      <c r="G25" s="1" t="s">
        <v>118</v>
      </c>
      <c r="H25" s="1" t="s">
        <v>139</v>
      </c>
      <c r="J25" s="1" t="s">
        <v>110</v>
      </c>
    </row>
    <row r="26" spans="1:12" x14ac:dyDescent="0.35">
      <c r="A26" s="1" t="s">
        <v>93</v>
      </c>
      <c r="B26" s="3" t="s">
        <v>110</v>
      </c>
      <c r="D26" s="1" t="s">
        <v>102</v>
      </c>
      <c r="E26" s="1" t="str">
        <f t="shared" si="6"/>
        <v/>
      </c>
      <c r="F26" s="5">
        <f t="shared" si="7"/>
        <v>0</v>
      </c>
      <c r="G26" s="1" t="s">
        <v>118</v>
      </c>
      <c r="H26" s="1" t="s">
        <v>139</v>
      </c>
      <c r="J26" s="1" t="s">
        <v>111</v>
      </c>
    </row>
    <row r="27" spans="1:12" x14ac:dyDescent="0.35">
      <c r="A27" s="1" t="s">
        <v>93</v>
      </c>
      <c r="B27" s="3" t="s">
        <v>111</v>
      </c>
      <c r="D27" s="1" t="s">
        <v>103</v>
      </c>
      <c r="E27" s="1" t="str">
        <f t="shared" si="6"/>
        <v/>
      </c>
      <c r="F27" s="5">
        <f t="shared" si="7"/>
        <v>0</v>
      </c>
      <c r="G27" s="1" t="s">
        <v>118</v>
      </c>
      <c r="H27" s="1" t="s">
        <v>139</v>
      </c>
      <c r="J27" s="1" t="s">
        <v>145</v>
      </c>
    </row>
    <row r="28" spans="1:12" x14ac:dyDescent="0.35">
      <c r="A28" s="1" t="s">
        <v>93</v>
      </c>
      <c r="B28" s="3" t="s">
        <v>145</v>
      </c>
      <c r="D28" s="1" t="s">
        <v>149</v>
      </c>
      <c r="F28" s="5">
        <f t="shared" ref="F28" si="8">IF(I28="",0,1)+IF(K28="",0,1)+IF(M28="",0,1)+IF(O28="",0,1)+IF(Q28="",0,1)+IF(S28="",0,1)</f>
        <v>0</v>
      </c>
      <c r="G28" s="1" t="s">
        <v>118</v>
      </c>
      <c r="H28" s="1" t="s">
        <v>139</v>
      </c>
      <c r="J28" s="1" t="s">
        <v>152</v>
      </c>
    </row>
    <row r="29" spans="1:12" x14ac:dyDescent="0.35">
      <c r="A29" s="1" t="s">
        <v>93</v>
      </c>
      <c r="B29" s="3" t="s">
        <v>152</v>
      </c>
      <c r="D29" s="1" t="s">
        <v>153</v>
      </c>
      <c r="F29" s="5">
        <f t="shared" ref="F29" si="9">IF(I29="",0,1)+IF(K29="",0,1)+IF(M29="",0,1)+IF(O29="",0,1)+IF(Q29="",0,1)+IF(S29="",0,1)</f>
        <v>0</v>
      </c>
      <c r="G29" s="1" t="s">
        <v>118</v>
      </c>
      <c r="H29" s="1" t="s">
        <v>139</v>
      </c>
      <c r="J29" s="1" t="s">
        <v>112</v>
      </c>
    </row>
    <row r="30" spans="1:12" x14ac:dyDescent="0.35">
      <c r="A30" s="1" t="s">
        <v>93</v>
      </c>
      <c r="B30" s="3" t="s">
        <v>112</v>
      </c>
      <c r="D30" s="1" t="s">
        <v>104</v>
      </c>
      <c r="E30" s="1" t="str">
        <f t="shared" si="6"/>
        <v/>
      </c>
      <c r="F30" s="5">
        <f t="shared" si="7"/>
        <v>0</v>
      </c>
      <c r="G30" s="1" t="s">
        <v>118</v>
      </c>
      <c r="H30" s="1" t="s">
        <v>139</v>
      </c>
      <c r="J30" s="1" t="s">
        <v>113</v>
      </c>
    </row>
    <row r="31" spans="1:12" x14ac:dyDescent="0.35">
      <c r="A31" s="1" t="s">
        <v>93</v>
      </c>
      <c r="B31" s="3" t="s">
        <v>113</v>
      </c>
      <c r="D31" s="1" t="s">
        <v>105</v>
      </c>
      <c r="E31" s="1" t="str">
        <f t="shared" si="6"/>
        <v/>
      </c>
      <c r="F31" s="5">
        <f t="shared" si="7"/>
        <v>0</v>
      </c>
      <c r="G31" s="1" t="s">
        <v>118</v>
      </c>
      <c r="H31" s="1" t="s">
        <v>139</v>
      </c>
      <c r="J31" s="1" t="s">
        <v>114</v>
      </c>
    </row>
    <row r="32" spans="1:12" x14ac:dyDescent="0.35">
      <c r="A32" s="1" t="s">
        <v>93</v>
      </c>
      <c r="B32" s="3" t="s">
        <v>114</v>
      </c>
      <c r="D32" s="1" t="s">
        <v>106</v>
      </c>
      <c r="E32" s="1" t="str">
        <f t="shared" si="6"/>
        <v/>
      </c>
      <c r="F32" s="5">
        <f t="shared" si="7"/>
        <v>0</v>
      </c>
      <c r="G32" s="1" t="s">
        <v>118</v>
      </c>
      <c r="H32" s="1" t="s">
        <v>139</v>
      </c>
      <c r="J32" s="1" t="s">
        <v>115</v>
      </c>
    </row>
    <row r="33" spans="1:12" x14ac:dyDescent="0.35">
      <c r="A33" s="1" t="s">
        <v>93</v>
      </c>
      <c r="B33" s="3" t="s">
        <v>115</v>
      </c>
      <c r="D33" s="1" t="s">
        <v>107</v>
      </c>
      <c r="E33" s="1" t="str">
        <f t="shared" si="6"/>
        <v/>
      </c>
      <c r="F33" s="5">
        <f t="shared" si="7"/>
        <v>0</v>
      </c>
      <c r="G33" s="1" t="s">
        <v>118</v>
      </c>
      <c r="H33" s="1" t="s">
        <v>139</v>
      </c>
      <c r="J33" s="1" t="s">
        <v>116</v>
      </c>
    </row>
    <row r="34" spans="1:12" x14ac:dyDescent="0.35">
      <c r="A34" s="1" t="s">
        <v>93</v>
      </c>
      <c r="B34" s="3" t="s">
        <v>116</v>
      </c>
      <c r="D34" s="3" t="s">
        <v>39</v>
      </c>
      <c r="E34" s="1" t="str">
        <f t="shared" si="6"/>
        <v>ja;ja</v>
      </c>
      <c r="F34" s="5">
        <f t="shared" si="7"/>
        <v>2</v>
      </c>
      <c r="G34" s="1" t="s">
        <v>77</v>
      </c>
      <c r="H34" s="1" t="s">
        <v>69</v>
      </c>
      <c r="I34" s="1" t="s">
        <v>0</v>
      </c>
      <c r="J34" s="1" t="s">
        <v>117</v>
      </c>
      <c r="K34" s="1" t="s">
        <v>0</v>
      </c>
    </row>
    <row r="35" spans="1:12" x14ac:dyDescent="0.35">
      <c r="A35" s="1" t="s">
        <v>93</v>
      </c>
      <c r="B35" s="3" t="s">
        <v>117</v>
      </c>
      <c r="D35" s="3" t="s">
        <v>40</v>
      </c>
      <c r="E35" s="1" t="str">
        <f t="shared" si="6"/>
        <v>ja;nein</v>
      </c>
      <c r="F35" s="5">
        <f t="shared" si="7"/>
        <v>2</v>
      </c>
      <c r="G35" s="1" t="s">
        <v>77</v>
      </c>
      <c r="H35" s="1" t="s">
        <v>69</v>
      </c>
      <c r="I35" s="1" t="s">
        <v>0</v>
      </c>
      <c r="J35" s="1" t="s">
        <v>141</v>
      </c>
      <c r="K35" s="1" t="s">
        <v>1</v>
      </c>
      <c r="L35" s="1" t="s">
        <v>141</v>
      </c>
    </row>
    <row r="36" spans="1:12" ht="43.2" x14ac:dyDescent="0.35">
      <c r="A36" s="1" t="s">
        <v>94</v>
      </c>
      <c r="B36" s="3" t="s">
        <v>121</v>
      </c>
      <c r="D36" s="4" t="s">
        <v>41</v>
      </c>
      <c r="E36" s="1" t="str">
        <f t="shared" si="6"/>
        <v>ja;nein</v>
      </c>
      <c r="F36" s="5">
        <f t="shared" si="7"/>
        <v>2</v>
      </c>
      <c r="G36" s="1" t="s">
        <v>77</v>
      </c>
      <c r="H36" s="1" t="s">
        <v>69</v>
      </c>
      <c r="I36" s="1" t="s">
        <v>0</v>
      </c>
      <c r="J36" s="3" t="s">
        <v>78</v>
      </c>
      <c r="K36" s="1" t="s">
        <v>1</v>
      </c>
      <c r="L36" s="1" t="s">
        <v>122</v>
      </c>
    </row>
    <row r="37" spans="1:12" ht="43.2" x14ac:dyDescent="0.35">
      <c r="A37" s="1" t="s">
        <v>94</v>
      </c>
      <c r="B37" s="3" t="s">
        <v>122</v>
      </c>
      <c r="D37" s="4" t="s">
        <v>42</v>
      </c>
      <c r="E37" s="1" t="str">
        <f t="shared" si="6"/>
        <v>ja;nein</v>
      </c>
      <c r="F37" s="5">
        <f t="shared" si="7"/>
        <v>2</v>
      </c>
      <c r="G37" s="1" t="s">
        <v>77</v>
      </c>
      <c r="H37" s="1" t="s">
        <v>69</v>
      </c>
      <c r="I37" s="1" t="s">
        <v>0</v>
      </c>
      <c r="J37" s="3" t="s">
        <v>78</v>
      </c>
      <c r="K37" s="1" t="s">
        <v>1</v>
      </c>
      <c r="L37" s="1" t="s">
        <v>123</v>
      </c>
    </row>
    <row r="38" spans="1:12" ht="43.2" x14ac:dyDescent="0.35">
      <c r="A38" s="1" t="s">
        <v>94</v>
      </c>
      <c r="B38" s="3" t="s">
        <v>123</v>
      </c>
      <c r="D38" s="4" t="s">
        <v>43</v>
      </c>
      <c r="E38" s="1" t="str">
        <f t="shared" si="6"/>
        <v>ja;nein</v>
      </c>
      <c r="F38" s="5">
        <f t="shared" si="7"/>
        <v>2</v>
      </c>
      <c r="G38" s="1" t="s">
        <v>77</v>
      </c>
      <c r="H38" s="1" t="s">
        <v>69</v>
      </c>
      <c r="I38" s="1" t="s">
        <v>0</v>
      </c>
      <c r="J38" s="3" t="s">
        <v>78</v>
      </c>
      <c r="K38" s="1" t="s">
        <v>1</v>
      </c>
      <c r="L38" s="1" t="s">
        <v>124</v>
      </c>
    </row>
    <row r="39" spans="1:12" ht="43.2" x14ac:dyDescent="0.35">
      <c r="A39" s="1" t="s">
        <v>94</v>
      </c>
      <c r="B39" s="3" t="s">
        <v>124</v>
      </c>
      <c r="D39" s="4" t="s">
        <v>44</v>
      </c>
      <c r="E39" s="1" t="str">
        <f t="shared" si="6"/>
        <v>ja;nein</v>
      </c>
      <c r="F39" s="5">
        <f t="shared" si="7"/>
        <v>2</v>
      </c>
      <c r="G39" s="1" t="s">
        <v>77</v>
      </c>
      <c r="H39" s="1" t="s">
        <v>69</v>
      </c>
      <c r="I39" s="1" t="s">
        <v>0</v>
      </c>
      <c r="J39" s="3" t="s">
        <v>78</v>
      </c>
      <c r="K39" s="1" t="s">
        <v>1</v>
      </c>
      <c r="L39" s="1" t="s">
        <v>125</v>
      </c>
    </row>
    <row r="40" spans="1:12" ht="57.6" x14ac:dyDescent="0.35">
      <c r="A40" s="1" t="s">
        <v>94</v>
      </c>
      <c r="B40" s="3" t="s">
        <v>125</v>
      </c>
      <c r="D40" s="4" t="s">
        <v>45</v>
      </c>
      <c r="E40" s="1" t="str">
        <f t="shared" si="6"/>
        <v>ja;nein</v>
      </c>
      <c r="F40" s="5">
        <f t="shared" si="7"/>
        <v>2</v>
      </c>
      <c r="G40" s="1" t="s">
        <v>77</v>
      </c>
      <c r="H40" s="1" t="s">
        <v>69</v>
      </c>
      <c r="I40" s="1" t="s">
        <v>0</v>
      </c>
      <c r="J40" s="3" t="s">
        <v>78</v>
      </c>
      <c r="K40" s="1" t="s">
        <v>1</v>
      </c>
      <c r="L40" s="1" t="s">
        <v>126</v>
      </c>
    </row>
    <row r="41" spans="1:12" ht="57.6" x14ac:dyDescent="0.35">
      <c r="A41" s="1" t="s">
        <v>94</v>
      </c>
      <c r="B41" s="3" t="s">
        <v>126</v>
      </c>
      <c r="D41" s="4" t="s">
        <v>46</v>
      </c>
      <c r="E41" s="1" t="str">
        <f t="shared" si="6"/>
        <v>ja;nein</v>
      </c>
      <c r="F41" s="5">
        <f t="shared" si="7"/>
        <v>2</v>
      </c>
      <c r="G41" s="1" t="s">
        <v>77</v>
      </c>
      <c r="H41" s="1" t="s">
        <v>69</v>
      </c>
      <c r="I41" s="1" t="s">
        <v>0</v>
      </c>
      <c r="J41" s="3" t="s">
        <v>78</v>
      </c>
      <c r="K41" s="1" t="s">
        <v>1</v>
      </c>
      <c r="L41" s="1" t="s">
        <v>127</v>
      </c>
    </row>
    <row r="42" spans="1:12" ht="57.6" x14ac:dyDescent="0.35">
      <c r="A42" s="1" t="s">
        <v>94</v>
      </c>
      <c r="B42" s="3" t="s">
        <v>127</v>
      </c>
      <c r="D42" s="4" t="s">
        <v>47</v>
      </c>
      <c r="E42" s="1" t="str">
        <f t="shared" si="6"/>
        <v>ja;nein</v>
      </c>
      <c r="F42" s="5">
        <f t="shared" si="7"/>
        <v>2</v>
      </c>
      <c r="G42" s="1" t="s">
        <v>77</v>
      </c>
      <c r="H42" s="1" t="s">
        <v>69</v>
      </c>
      <c r="I42" s="1" t="s">
        <v>0</v>
      </c>
      <c r="J42" s="3" t="s">
        <v>78</v>
      </c>
      <c r="K42" s="1" t="s">
        <v>1</v>
      </c>
      <c r="L42" s="1" t="s">
        <v>128</v>
      </c>
    </row>
    <row r="43" spans="1:12" ht="57.6" x14ac:dyDescent="0.35">
      <c r="A43" s="1" t="s">
        <v>94</v>
      </c>
      <c r="B43" s="3" t="s">
        <v>128</v>
      </c>
      <c r="D43" s="4" t="s">
        <v>48</v>
      </c>
      <c r="E43" s="1" t="str">
        <f t="shared" si="6"/>
        <v>ja;nein</v>
      </c>
      <c r="F43" s="5">
        <f t="shared" si="7"/>
        <v>2</v>
      </c>
      <c r="G43" s="1" t="s">
        <v>77</v>
      </c>
      <c r="H43" s="1" t="s">
        <v>69</v>
      </c>
      <c r="I43" s="1" t="s">
        <v>0</v>
      </c>
      <c r="J43" s="3" t="s">
        <v>78</v>
      </c>
      <c r="K43" s="1" t="s">
        <v>1</v>
      </c>
      <c r="L43" s="1" t="s">
        <v>129</v>
      </c>
    </row>
    <row r="44" spans="1:12" ht="57.6" x14ac:dyDescent="0.35">
      <c r="A44" s="1" t="s">
        <v>94</v>
      </c>
      <c r="B44" s="3" t="s">
        <v>129</v>
      </c>
      <c r="D44" s="4" t="s">
        <v>49</v>
      </c>
      <c r="E44" s="1" t="str">
        <f t="shared" si="6"/>
        <v>ja;nein</v>
      </c>
      <c r="F44" s="5">
        <f t="shared" si="7"/>
        <v>2</v>
      </c>
      <c r="G44" s="1" t="s">
        <v>77</v>
      </c>
      <c r="H44" s="1" t="s">
        <v>69</v>
      </c>
      <c r="I44" s="1" t="s">
        <v>0</v>
      </c>
      <c r="J44" s="3" t="s">
        <v>78</v>
      </c>
      <c r="K44" s="1" t="s">
        <v>1</v>
      </c>
      <c r="L44" s="1" t="s">
        <v>130</v>
      </c>
    </row>
    <row r="45" spans="1:12" ht="57.6" x14ac:dyDescent="0.35">
      <c r="A45" s="1" t="s">
        <v>94</v>
      </c>
      <c r="B45" s="3" t="s">
        <v>130</v>
      </c>
      <c r="D45" s="4" t="s">
        <v>50</v>
      </c>
      <c r="E45" s="1" t="str">
        <f t="shared" si="6"/>
        <v>ja;nein</v>
      </c>
      <c r="F45" s="5">
        <f t="shared" si="7"/>
        <v>2</v>
      </c>
      <c r="G45" s="1" t="s">
        <v>77</v>
      </c>
      <c r="H45" s="1" t="s">
        <v>69</v>
      </c>
      <c r="I45" s="1" t="s">
        <v>0</v>
      </c>
      <c r="J45" s="3" t="s">
        <v>78</v>
      </c>
      <c r="K45" s="1" t="s">
        <v>1</v>
      </c>
      <c r="L45" s="1" t="s">
        <v>131</v>
      </c>
    </row>
    <row r="46" spans="1:12" ht="57.6" x14ac:dyDescent="0.35">
      <c r="A46" s="1" t="s">
        <v>94</v>
      </c>
      <c r="B46" s="3" t="s">
        <v>131</v>
      </c>
      <c r="D46" s="4" t="s">
        <v>51</v>
      </c>
      <c r="E46" s="1" t="str">
        <f t="shared" si="6"/>
        <v>ja;nein</v>
      </c>
      <c r="F46" s="5">
        <f t="shared" si="7"/>
        <v>2</v>
      </c>
      <c r="G46" s="1" t="s">
        <v>77</v>
      </c>
      <c r="H46" s="1" t="s">
        <v>69</v>
      </c>
      <c r="I46" s="1" t="s">
        <v>0</v>
      </c>
      <c r="J46" s="3" t="s">
        <v>78</v>
      </c>
      <c r="K46" s="1" t="s">
        <v>1</v>
      </c>
      <c r="L46" s="1" t="s">
        <v>132</v>
      </c>
    </row>
    <row r="47" spans="1:12" ht="57.6" x14ac:dyDescent="0.35">
      <c r="A47" s="1" t="s">
        <v>94</v>
      </c>
      <c r="B47" s="3" t="s">
        <v>132</v>
      </c>
      <c r="D47" s="4" t="s">
        <v>52</v>
      </c>
      <c r="E47" s="1" t="str">
        <f t="shared" si="6"/>
        <v>ja;nein</v>
      </c>
      <c r="F47" s="5">
        <f t="shared" si="7"/>
        <v>2</v>
      </c>
      <c r="G47" s="1" t="s">
        <v>77</v>
      </c>
      <c r="H47" s="1" t="s">
        <v>69</v>
      </c>
      <c r="I47" s="1" t="s">
        <v>0</v>
      </c>
      <c r="J47" s="3" t="s">
        <v>78</v>
      </c>
      <c r="K47" s="1" t="s">
        <v>1</v>
      </c>
      <c r="L47" s="1" t="s">
        <v>133</v>
      </c>
    </row>
    <row r="48" spans="1:12" ht="100.8" x14ac:dyDescent="0.35">
      <c r="A48" s="1" t="s">
        <v>94</v>
      </c>
      <c r="B48" s="3" t="s">
        <v>133</v>
      </c>
      <c r="D48" s="4" t="s">
        <v>53</v>
      </c>
      <c r="E48" s="1" t="str">
        <f t="shared" si="6"/>
        <v>ja;nein</v>
      </c>
      <c r="F48" s="5">
        <f t="shared" si="7"/>
        <v>2</v>
      </c>
      <c r="G48" s="1" t="s">
        <v>77</v>
      </c>
      <c r="H48" s="1" t="s">
        <v>69</v>
      </c>
      <c r="I48" s="1" t="s">
        <v>0</v>
      </c>
      <c r="J48" s="3" t="s">
        <v>78</v>
      </c>
      <c r="K48" s="1" t="s">
        <v>1</v>
      </c>
      <c r="L48" s="1" t="s">
        <v>134</v>
      </c>
    </row>
    <row r="49" spans="1:12" ht="43.2" x14ac:dyDescent="0.35">
      <c r="A49" s="1" t="s">
        <v>94</v>
      </c>
      <c r="B49" s="3" t="s">
        <v>134</v>
      </c>
      <c r="D49" s="4" t="s">
        <v>54</v>
      </c>
      <c r="E49" s="1" t="str">
        <f t="shared" si="6"/>
        <v>ja;nein</v>
      </c>
      <c r="F49" s="5">
        <f t="shared" si="7"/>
        <v>2</v>
      </c>
      <c r="G49" s="1" t="s">
        <v>77</v>
      </c>
      <c r="H49" s="1" t="s">
        <v>69</v>
      </c>
      <c r="I49" s="1" t="s">
        <v>0</v>
      </c>
      <c r="J49" s="3" t="s">
        <v>78</v>
      </c>
      <c r="K49" s="1" t="s">
        <v>1</v>
      </c>
      <c r="L49" s="1" t="s">
        <v>135</v>
      </c>
    </row>
    <row r="50" spans="1:12" ht="43.2" x14ac:dyDescent="0.35">
      <c r="A50" s="1" t="s">
        <v>94</v>
      </c>
      <c r="B50" s="3" t="s">
        <v>135</v>
      </c>
      <c r="D50" s="4" t="s">
        <v>55</v>
      </c>
      <c r="E50" s="1" t="str">
        <f t="shared" si="6"/>
        <v>ja;nein</v>
      </c>
      <c r="F50" s="5">
        <f t="shared" si="7"/>
        <v>2</v>
      </c>
      <c r="G50" s="1" t="s">
        <v>77</v>
      </c>
      <c r="H50" s="1" t="s">
        <v>69</v>
      </c>
      <c r="I50" s="1" t="s">
        <v>0</v>
      </c>
      <c r="J50" s="3" t="s">
        <v>78</v>
      </c>
      <c r="K50" s="1" t="s">
        <v>1</v>
      </c>
      <c r="L50" s="1" t="s">
        <v>78</v>
      </c>
    </row>
    <row r="51" spans="1:12" x14ac:dyDescent="0.35">
      <c r="D51" s="3"/>
    </row>
    <row r="52" spans="1:12" x14ac:dyDescent="0.35">
      <c r="D52" s="3"/>
    </row>
  </sheetData>
  <mergeCells count="1">
    <mergeCell ref="C2:C3"/>
  </mergeCells>
  <phoneticPr fontId="3" type="noConversion"/>
  <conditionalFormatting sqref="J9">
    <cfRule type="cellIs" dxfId="0" priority="1" operator="equal">
      <formula>"ende"</formula>
    </cfRule>
  </conditionalFormatting>
  <pageMargins left="0.7" right="0.7" top="0.78740157499999996" bottom="0.78740157499999996"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586F3-2372-41D6-BEDF-0884ED343CCE}">
  <dimension ref="A1:F22"/>
  <sheetViews>
    <sheetView workbookViewId="0">
      <selection activeCell="C22" sqref="C22"/>
    </sheetView>
  </sheetViews>
  <sheetFormatPr baseColWidth="10" defaultRowHeight="14.4" x14ac:dyDescent="0.3"/>
  <cols>
    <col min="1" max="1" width="100.44140625" bestFit="1" customWidth="1"/>
    <col min="2" max="2" width="9.77734375" bestFit="1" customWidth="1"/>
    <col min="3" max="3" width="11.33203125" bestFit="1" customWidth="1"/>
    <col min="4" max="4" width="11.33203125" customWidth="1"/>
    <col min="6" max="6" width="16.44140625" bestFit="1" customWidth="1"/>
  </cols>
  <sheetData>
    <row r="1" spans="1:6" x14ac:dyDescent="0.3">
      <c r="A1" t="s">
        <v>93</v>
      </c>
      <c r="B1" t="s">
        <v>155</v>
      </c>
      <c r="C1" t="s">
        <v>154</v>
      </c>
      <c r="D1" t="s">
        <v>157</v>
      </c>
      <c r="E1" t="s">
        <v>150</v>
      </c>
      <c r="F1" t="s">
        <v>151</v>
      </c>
    </row>
    <row r="2" spans="1:6" x14ac:dyDescent="0.3">
      <c r="A2" t="str">
        <f>Tabelle1!D23</f>
        <v xml:space="preserve">Einnahmen aus sozialversicherungspflichtiger Tätigkeit, brutto im Monat </v>
      </c>
      <c r="B2">
        <f>Tabelle1!C23</f>
        <v>0</v>
      </c>
      <c r="C2">
        <f>B2</f>
        <v>0</v>
      </c>
      <c r="D2">
        <f>C2</f>
        <v>0</v>
      </c>
      <c r="E2">
        <v>0</v>
      </c>
      <c r="F2">
        <f>C2</f>
        <v>0</v>
      </c>
    </row>
    <row r="3" spans="1:6" x14ac:dyDescent="0.3">
      <c r="A3" t="str">
        <f>Tabelle1!D24</f>
        <v>Einnahmen aus einem Mini-Job pro Monat</v>
      </c>
      <c r="B3">
        <f>Tabelle1!C24</f>
        <v>0</v>
      </c>
      <c r="C3">
        <f t="shared" ref="C3:D12" si="0">B3</f>
        <v>0</v>
      </c>
      <c r="D3">
        <f t="shared" si="0"/>
        <v>0</v>
      </c>
      <c r="E3">
        <v>0</v>
      </c>
      <c r="F3">
        <f t="shared" ref="F3:F6" si="1">C3</f>
        <v>0</v>
      </c>
    </row>
    <row r="4" spans="1:6" x14ac:dyDescent="0.3">
      <c r="A4" t="str">
        <f>Tabelle1!D25</f>
        <v>Gewinn aus selbstständiger Tätigkeit pro Monat (gemäß letztem Einkommenssteuerbescheid). Verluste mit minus eintragen.</v>
      </c>
      <c r="B4">
        <f>Tabelle1!C25</f>
        <v>0</v>
      </c>
      <c r="C4">
        <f t="shared" si="0"/>
        <v>0</v>
      </c>
      <c r="D4">
        <f t="shared" si="0"/>
        <v>0</v>
      </c>
      <c r="E4">
        <f>MIN(C4,0)</f>
        <v>0</v>
      </c>
      <c r="F4">
        <f t="shared" si="1"/>
        <v>0</v>
      </c>
    </row>
    <row r="5" spans="1:6" x14ac:dyDescent="0.3">
      <c r="A5" t="str">
        <f>Tabelle1!D26</f>
        <v>Gewinn aus Vermietung &amp; Verpachtung (gemäß letztem Einkommenssteuerbescheid). Verluste mit minus eintragen.</v>
      </c>
      <c r="B5">
        <f>Tabelle1!C26</f>
        <v>0</v>
      </c>
      <c r="C5">
        <f t="shared" si="0"/>
        <v>0</v>
      </c>
      <c r="D5">
        <f t="shared" si="0"/>
        <v>0</v>
      </c>
      <c r="E5">
        <f>MIN(C5,0)</f>
        <v>0</v>
      </c>
      <c r="F5">
        <f t="shared" si="1"/>
        <v>0</v>
      </c>
    </row>
    <row r="6" spans="1:6" x14ac:dyDescent="0.3">
      <c r="A6" t="str">
        <f>Tabelle1!D27</f>
        <v>Gewinn aus Kapitalerträgen (gemäß letztem Einkommenssteuerbescheid). Verluste mit minus eintragen.</v>
      </c>
      <c r="B6">
        <f>Tabelle1!C27</f>
        <v>0</v>
      </c>
      <c r="C6">
        <f t="shared" si="0"/>
        <v>0</v>
      </c>
      <c r="D6">
        <f t="shared" si="0"/>
        <v>0</v>
      </c>
      <c r="E6">
        <f>MAX(C6,0)</f>
        <v>0</v>
      </c>
      <c r="F6">
        <f t="shared" si="1"/>
        <v>0</v>
      </c>
    </row>
    <row r="7" spans="1:6" x14ac:dyDescent="0.3">
      <c r="A7" t="str">
        <f>Tabelle1!D28</f>
        <v>Altersrente der deutschen Rentenversicherung  ohne KV-Zuschuss</v>
      </c>
      <c r="B7">
        <f>Tabelle1!C28</f>
        <v>0</v>
      </c>
      <c r="C7">
        <f>IF(B7&gt;0,B7+C15,0)</f>
        <v>0</v>
      </c>
      <c r="D7">
        <f t="shared" si="0"/>
        <v>0</v>
      </c>
      <c r="E7">
        <f t="shared" ref="E7:E12" si="2">MAX(C7,0)</f>
        <v>0</v>
      </c>
      <c r="F7">
        <f>C7*0.1</f>
        <v>0</v>
      </c>
    </row>
    <row r="8" spans="1:6" x14ac:dyDescent="0.3">
      <c r="A8" t="str">
        <f>Tabelle1!D29</f>
        <v>Altersrente aus einem Versorgungswerk</v>
      </c>
      <c r="B8">
        <f>Tabelle1!C29</f>
        <v>0</v>
      </c>
      <c r="C8">
        <f t="shared" si="0"/>
        <v>0</v>
      </c>
      <c r="D8">
        <f t="shared" si="0"/>
        <v>0</v>
      </c>
      <c r="E8">
        <f t="shared" si="2"/>
        <v>0</v>
      </c>
      <c r="F8">
        <f>C8</f>
        <v>0</v>
      </c>
    </row>
    <row r="9" spans="1:6" x14ac:dyDescent="0.3">
      <c r="A9" t="str">
        <f>Tabelle1!D30</f>
        <v>Betriebsrente pro Monat</v>
      </c>
      <c r="B9">
        <f>Tabelle1!C30</f>
        <v>0</v>
      </c>
      <c r="C9">
        <f t="shared" si="0"/>
        <v>0</v>
      </c>
      <c r="D9">
        <f t="shared" si="0"/>
        <v>0</v>
      </c>
      <c r="E9">
        <f t="shared" si="2"/>
        <v>0</v>
      </c>
      <c r="F9">
        <f>C9</f>
        <v>0</v>
      </c>
    </row>
    <row r="10" spans="1:6" x14ac:dyDescent="0.3">
      <c r="A10" t="str">
        <f>Tabelle1!D31</f>
        <v>Staatlich geförderte Rente pro Monat</v>
      </c>
      <c r="B10">
        <f>Tabelle1!C31</f>
        <v>0</v>
      </c>
      <c r="C10">
        <f t="shared" si="0"/>
        <v>0</v>
      </c>
      <c r="D10">
        <f t="shared" si="0"/>
        <v>0</v>
      </c>
      <c r="E10">
        <f t="shared" si="2"/>
        <v>0</v>
      </c>
      <c r="F10">
        <f>C10</f>
        <v>0</v>
      </c>
    </row>
    <row r="11" spans="1:6" x14ac:dyDescent="0.3">
      <c r="A11" t="str">
        <f>Tabelle1!D32</f>
        <v>Private Rente pro Monat</v>
      </c>
      <c r="B11">
        <f>Tabelle1!C32</f>
        <v>0</v>
      </c>
      <c r="C11">
        <f t="shared" si="0"/>
        <v>0</v>
      </c>
      <c r="D11">
        <f t="shared" si="0"/>
        <v>0</v>
      </c>
      <c r="E11">
        <f t="shared" si="2"/>
        <v>0</v>
      </c>
      <c r="F11">
        <f>C11</f>
        <v>0</v>
      </c>
    </row>
    <row r="12" spans="1:6" x14ac:dyDescent="0.3">
      <c r="A12" t="str">
        <f>Tabelle1!D33</f>
        <v>Sonstige Einkünfte pro Monat</v>
      </c>
      <c r="B12">
        <f>Tabelle1!C33</f>
        <v>0</v>
      </c>
      <c r="C12">
        <f t="shared" si="0"/>
        <v>0</v>
      </c>
      <c r="D12">
        <f t="shared" si="0"/>
        <v>0</v>
      </c>
      <c r="E12">
        <f t="shared" si="2"/>
        <v>0</v>
      </c>
      <c r="F12">
        <f>C12</f>
        <v>0</v>
      </c>
    </row>
    <row r="14" spans="1:6" x14ac:dyDescent="0.3">
      <c r="C14">
        <f ca="1">SUM(C2:C15)</f>
        <v>246</v>
      </c>
      <c r="D14">
        <f>SUM(D2:D13)</f>
        <v>0</v>
      </c>
      <c r="E14">
        <f ca="1">C14</f>
        <v>246</v>
      </c>
      <c r="F14">
        <f ca="1">C14</f>
        <v>246</v>
      </c>
    </row>
    <row r="15" spans="1:6" x14ac:dyDescent="0.3">
      <c r="A15" t="s">
        <v>144</v>
      </c>
      <c r="B15">
        <f>Tabelle1!C22</f>
        <v>0</v>
      </c>
      <c r="C15">
        <f>B15*Tabelle3!B1*2.5*-1</f>
        <v>0</v>
      </c>
      <c r="D15">
        <f>C15</f>
        <v>0</v>
      </c>
      <c r="E15">
        <f t="shared" ref="E15:F15" si="3">D15</f>
        <v>0</v>
      </c>
      <c r="F15">
        <f t="shared" si="3"/>
        <v>0</v>
      </c>
    </row>
    <row r="16" spans="1:6" x14ac:dyDescent="0.3">
      <c r="A16" t="str">
        <f>Tabelle1!D7</f>
        <v>Sind Sie zurzeit verheiratet</v>
      </c>
      <c r="B16">
        <f>Tabelle1!C7</f>
        <v>0</v>
      </c>
    </row>
    <row r="17" spans="1:6" x14ac:dyDescent="0.3">
      <c r="A17" t="str">
        <f>Tabelle1!D8</f>
        <v>Beabsichtigen Sie in naher Zukunft zu heiraten ?</v>
      </c>
      <c r="B17">
        <f>Tabelle1!C8</f>
        <v>0</v>
      </c>
    </row>
    <row r="18" spans="1:6" x14ac:dyDescent="0.3">
      <c r="A18" t="str">
        <f>Tabelle1!D34</f>
        <v>Beziehen Sie Bürgergeld?</v>
      </c>
      <c r="B18">
        <f>Tabelle1!C35</f>
        <v>0</v>
      </c>
      <c r="C18">
        <f>B18</f>
        <v>0</v>
      </c>
    </row>
    <row r="19" spans="1:6" x14ac:dyDescent="0.3">
      <c r="A19" t="str">
        <f>Tabelle1!D35</f>
        <v>Beziehen Sie Grundsicherung?</v>
      </c>
      <c r="B19">
        <f>Tabelle1!C34</f>
        <v>0</v>
      </c>
      <c r="C19">
        <f>B19</f>
        <v>0</v>
      </c>
    </row>
    <row r="21" spans="1:6" x14ac:dyDescent="0.3">
      <c r="A21" t="s">
        <v>156</v>
      </c>
      <c r="C21" t="str">
        <f ca="1">IF(C14&lt;Tabelle3!$B5,"ja","nein")</f>
        <v>ja</v>
      </c>
      <c r="D21" t="str">
        <f>IF(D14&lt;Tabelle3!$B5,"ja","nein")</f>
        <v>ja</v>
      </c>
      <c r="E21" t="str">
        <f ca="1">IF(E14&lt;Tabelle3!$B5,"ja","nein")</f>
        <v>ja</v>
      </c>
      <c r="F21" t="str">
        <f ca="1">IF(F14&lt;Tabelle3!$B5,"ja","nein")</f>
        <v>ja</v>
      </c>
    </row>
    <row r="22" spans="1:6" x14ac:dyDescent="0.3">
      <c r="A22" t="s">
        <v>140</v>
      </c>
      <c r="B22" s="7"/>
      <c r="C22">
        <f ca="1">IF(C21="ja",1,0)</f>
        <v>0</v>
      </c>
    </row>
  </sheetData>
  <pageMargins left="0.7" right="0.7" top="0.78740157499999996" bottom="0.78740157499999996"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CDF25-1620-49FF-81D4-AD513589BBE7}">
  <dimension ref="A1:B3"/>
  <sheetViews>
    <sheetView workbookViewId="0">
      <selection activeCell="C29" sqref="C29"/>
    </sheetView>
  </sheetViews>
  <sheetFormatPr baseColWidth="10" defaultRowHeight="14.4" x14ac:dyDescent="0.3"/>
  <sheetData>
    <row r="1" spans="1:2" x14ac:dyDescent="0.3">
      <c r="A1" t="s">
        <v>140</v>
      </c>
      <c r="B1">
        <v>1</v>
      </c>
    </row>
    <row r="2" spans="1:2" x14ac:dyDescent="0.3">
      <c r="A2" t="s">
        <v>159</v>
      </c>
      <c r="B2">
        <v>2</v>
      </c>
    </row>
    <row r="3" spans="1:2" x14ac:dyDescent="0.3">
      <c r="A3" t="s">
        <v>160</v>
      </c>
      <c r="B3">
        <v>3</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44B0-1B3B-46BF-8382-BBF958ECE2B5}">
  <dimension ref="A1:D5"/>
  <sheetViews>
    <sheetView workbookViewId="0">
      <selection activeCell="D3" sqref="D3"/>
    </sheetView>
  </sheetViews>
  <sheetFormatPr baseColWidth="10" defaultRowHeight="14.4" x14ac:dyDescent="0.3"/>
  <sheetData>
    <row r="1" spans="1:4" x14ac:dyDescent="0.3">
      <c r="A1" t="s">
        <v>146</v>
      </c>
      <c r="B1">
        <v>40</v>
      </c>
      <c r="D1" t="s">
        <v>0</v>
      </c>
    </row>
    <row r="2" spans="1:4" x14ac:dyDescent="0.3">
      <c r="A2" t="s">
        <v>147</v>
      </c>
      <c r="B2">
        <v>565</v>
      </c>
      <c r="D2" t="s">
        <v>1</v>
      </c>
    </row>
    <row r="3" spans="1:4" x14ac:dyDescent="0.3">
      <c r="A3" t="s">
        <v>148</v>
      </c>
      <c r="B3">
        <v>603</v>
      </c>
    </row>
    <row r="5" spans="1:4" x14ac:dyDescent="0.3">
      <c r="A5" t="s">
        <v>158</v>
      </c>
      <c r="B5">
        <f>IF(Tabelle1!C24&gt;0,Tabelle3!B3,Tabelle3!B2)</f>
        <v>565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Tabelle1</vt:lpstr>
      <vt:lpstr>Tabelle2</vt:lpstr>
      <vt:lpstr>Tabelle4</vt:lpstr>
      <vt:lpstr>Tabelle3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von Dziengel</dc:creator>
  <cp:lastModifiedBy>Alexander von Dziengel</cp:lastModifiedBy>
  <dcterms:created xsi:type="dcterms:W3CDTF">2026-03-20T19:49:21Z</dcterms:created>
  <dcterms:modified xsi:type="dcterms:W3CDTF">2026-03-22T21:30:56Z</dcterms:modified>
</cp:coreProperties>
</file>