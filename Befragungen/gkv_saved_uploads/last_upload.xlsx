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44" windowWidth="23040" windowHeight="11796" tabRatio="600" firstSheet="0" activeTab="0" autoFilterDateGrouping="1"/>
  </bookViews>
  <sheets>
    <sheet xmlns:r="http://schemas.openxmlformats.org/officeDocument/2006/relationships" name="Tabelle1" sheetId="1" state="visible" r:id="rId1"/>
    <sheet xmlns:r="http://schemas.openxmlformats.org/officeDocument/2006/relationships" name="Tabelle2" sheetId="2" state="visible" r:id="rId2"/>
    <sheet xmlns:r="http://schemas.openxmlformats.org/officeDocument/2006/relationships" name="Tabelle4" sheetId="3" state="visible" r:id="rId3"/>
    <sheet xmlns:r="http://schemas.openxmlformats.org/officeDocument/2006/relationships" name="Tabelle3" sheetId="4" state="visible" r:id="rId4"/>
  </sheets>
  <definedNames/>
  <calcPr calcId="191029" fullCalcOnLoad="1"/>
</workbook>
</file>

<file path=xl/styles.xml><?xml version="1.0" encoding="utf-8"?>
<styleSheet xmlns="http://schemas.openxmlformats.org/spreadsheetml/2006/main">
  <numFmts count="0"/>
  <fonts count="4">
    <font>
      <name val="Aptos Narrow"/>
      <family val="2"/>
      <color theme="1"/>
      <sz val="11"/>
      <scheme val="minor"/>
    </font>
    <font>
      <name val="Aptos Narrow"/>
      <family val="2"/>
      <color rgb="FFFF0000"/>
      <sz val="11"/>
      <scheme val="minor"/>
    </font>
    <font>
      <name val="Aptos Narrow"/>
      <family val="2"/>
      <color theme="1"/>
      <sz val="14"/>
      <scheme val="minor"/>
    </font>
    <font>
      <name val="Aptos Narrow"/>
      <family val="2"/>
      <sz val="8"/>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pivotButton="0" quotePrefix="0" xfId="0"/>
    <xf numFmtId="0" fontId="2" fillId="0" borderId="0" pivotButton="0" quotePrefix="0" xfId="0"/>
    <xf numFmtId="0" fontId="2" fillId="0" borderId="0" applyAlignment="1" pivotButton="0" quotePrefix="0" xfId="0">
      <alignment horizontal="left" vertical="center"/>
    </xf>
    <xf numFmtId="0" fontId="2" fillId="0" borderId="0" applyAlignment="1" pivotButton="0" quotePrefix="0" xfId="0">
      <alignment horizontal="left"/>
    </xf>
    <xf numFmtId="0" fontId="0" fillId="0" borderId="1" applyAlignment="1" pivotButton="0" quotePrefix="0" xfId="0">
      <alignment vertical="top" wrapText="1"/>
    </xf>
    <xf numFmtId="0" fontId="2" fillId="0" borderId="0" applyAlignment="1" pivotButton="0" quotePrefix="0" xfId="0">
      <alignment horizontal="center"/>
    </xf>
    <xf numFmtId="20" fontId="2" fillId="0" borderId="0" applyAlignment="1" pivotButton="0" quotePrefix="0" xfId="0">
      <alignment horizontal="left"/>
    </xf>
    <xf numFmtId="49" fontId="0" fillId="0" borderId="0" pivotButton="0" quotePrefix="0" xfId="0"/>
    <xf numFmtId="0" fontId="2" fillId="0" borderId="0" applyAlignment="1" pivotButton="0" quotePrefix="0" xfId="0">
      <alignment horizontal="left" vertical="center"/>
    </xf>
    <xf numFmtId="0" fontId="0" fillId="0" borderId="0" applyAlignment="1" pivotButton="0" quotePrefix="0" xfId="0">
      <alignment horizontal="left"/>
    </xf>
  </cellXfs>
  <cellStyles count="1">
    <cellStyle name="Standard" xfId="0" builtinId="0"/>
  </cellStyles>
  <dxfs count="1">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T52"/>
  <sheetViews>
    <sheetView tabSelected="1" topLeftCell="A13" zoomScale="97" workbookViewId="0">
      <selection activeCell="C14" sqref="C14"/>
    </sheetView>
  </sheetViews>
  <sheetFormatPr baseColWidth="10" defaultColWidth="11.44140625" defaultRowHeight="18"/>
  <cols>
    <col width="19.109375" bestFit="1" customWidth="1" style="1" min="1" max="1"/>
    <col width="11.109375" bestFit="1" customWidth="1" style="3" min="2" max="2"/>
    <col width="11.109375" customWidth="1" style="3" min="3" max="3"/>
    <col width="44.109375" bestFit="1" customWidth="1" style="1" min="4" max="4"/>
    <col width="38.88671875" bestFit="1" customWidth="1" style="1" min="5" max="5"/>
    <col width="24.44140625" customWidth="1" style="1" min="6" max="6"/>
    <col width="12.88671875" bestFit="1" customWidth="1" style="1" min="7" max="7"/>
    <col width="13.109375" customWidth="1" style="1" min="8" max="8"/>
    <col width="6.6640625" customWidth="1" style="1" min="9" max="9"/>
    <col width="10.109375" bestFit="1" customWidth="1" style="3" min="10" max="10"/>
    <col width="6" bestFit="1" customWidth="1" style="1" min="11" max="11"/>
    <col width="10.109375" bestFit="1" customWidth="1" style="1" min="12" max="12"/>
    <col width="4.109375" bestFit="1" customWidth="1" style="1" min="13" max="13"/>
    <col width="10.109375" bestFit="1" customWidth="1" style="1" min="14" max="14"/>
    <col width="4.109375" bestFit="1" customWidth="1" style="1" min="15" max="15"/>
    <col width="10.109375" bestFit="1" customWidth="1" style="1" min="16" max="16"/>
    <col width="4.109375" bestFit="1" customWidth="1" style="1" min="17" max="17"/>
    <col width="10.109375" bestFit="1" customWidth="1" style="1" min="18" max="18"/>
    <col width="11.44140625" customWidth="1" style="1" min="19" max="16384"/>
  </cols>
  <sheetData>
    <row r="1">
      <c r="A1" s="1" t="inlineStr">
        <is>
          <t>Block</t>
        </is>
      </c>
      <c r="B1" s="3" t="inlineStr">
        <is>
          <t>Frage Nr.</t>
        </is>
      </c>
      <c r="C1" s="1" t="n"/>
      <c r="D1" s="1" t="inlineStr">
        <is>
          <t>Frage</t>
        </is>
      </c>
      <c r="E1" s="1" t="inlineStr">
        <is>
          <t>mögliche Antworten</t>
        </is>
      </c>
      <c r="F1" s="1" t="inlineStr">
        <is>
          <t>Anzahl der Antworten</t>
        </is>
      </c>
      <c r="G1" s="1" t="inlineStr">
        <is>
          <t>Antwortart</t>
        </is>
      </c>
      <c r="H1" s="1" t="inlineStr">
        <is>
          <t>Antwortart</t>
        </is>
      </c>
      <c r="I1" s="1" t="inlineStr">
        <is>
          <t>A1</t>
        </is>
      </c>
      <c r="J1" s="3" t="inlineStr">
        <is>
          <t>nach A1</t>
        </is>
      </c>
      <c r="K1" s="1" t="inlineStr">
        <is>
          <t>A2</t>
        </is>
      </c>
      <c r="L1" s="3" t="inlineStr">
        <is>
          <t>nach A2</t>
        </is>
      </c>
      <c r="M1" s="1" t="inlineStr">
        <is>
          <t>A3</t>
        </is>
      </c>
      <c r="N1" s="3" t="inlineStr">
        <is>
          <t>nach A3</t>
        </is>
      </c>
      <c r="O1" s="1" t="inlineStr">
        <is>
          <t>A4</t>
        </is>
      </c>
      <c r="P1" s="3" t="inlineStr">
        <is>
          <t>nach A4</t>
        </is>
      </c>
      <c r="Q1" s="1" t="inlineStr">
        <is>
          <t>A5</t>
        </is>
      </c>
      <c r="R1" s="3" t="inlineStr">
        <is>
          <t>nach A5</t>
        </is>
      </c>
      <c r="S1" s="1" t="inlineStr">
        <is>
          <t>A6</t>
        </is>
      </c>
      <c r="T1" s="3" t="inlineStr">
        <is>
          <t>nach A6</t>
        </is>
      </c>
    </row>
    <row r="2">
      <c r="A2" s="1" t="inlineStr">
        <is>
          <t>Vorversicherung</t>
        </is>
      </c>
      <c r="B2" s="8" t="n">
        <v>1</v>
      </c>
      <c r="C2" s="8" t="inlineStr">
        <is>
          <t>ja</t>
        </is>
      </c>
      <c r="D2" s="1" t="inlineStr">
        <is>
          <t>Wie sind sie zurzeit krankenversichert?</t>
        </is>
      </c>
      <c r="E2" s="1">
        <f>I2&amp;IF(K2="","",";"&amp;K2)&amp;IF(M2="","",";"&amp;M2)&amp;IF(O2="","",";"&amp;O2)&amp;IF(Q2="","",";"&amp;Q2)&amp;IF(T2="","",";"&amp;T2)</f>
        <v/>
      </c>
      <c r="F2" s="5">
        <f>IF(I2="",0,1)+IF(K2="",0,1)+IF(M2="",0,1)+IF(O2="",0,1)+IF(Q2="",0,1)+IF(S2="",0,1)</f>
        <v/>
      </c>
      <c r="G2" s="5" t="inlineStr">
        <is>
          <t>Button</t>
        </is>
      </c>
      <c r="H2" s="1" t="inlineStr">
        <is>
          <t>one Choice</t>
        </is>
      </c>
      <c r="I2" s="1" t="inlineStr">
        <is>
          <t>GKV</t>
        </is>
      </c>
      <c r="J2" s="3" t="inlineStr">
        <is>
          <t>V200</t>
        </is>
      </c>
      <c r="K2" s="1" t="inlineStr">
        <is>
          <t>PKV</t>
        </is>
      </c>
      <c r="L2" s="1" t="inlineStr">
        <is>
          <t>V200</t>
        </is>
      </c>
      <c r="M2" s="1" t="inlineStr">
        <is>
          <t>ausländische KV</t>
        </is>
      </c>
      <c r="N2" s="1" t="inlineStr">
        <is>
          <t>V200</t>
        </is>
      </c>
      <c r="O2" s="1" t="inlineStr">
        <is>
          <t>unversichert</t>
        </is>
      </c>
      <c r="P2" s="1" t="inlineStr">
        <is>
          <t>U1</t>
        </is>
      </c>
      <c r="Q2" s="1" t="inlineStr">
        <is>
          <t>anderweitig</t>
        </is>
      </c>
      <c r="R2" s="1" t="inlineStr">
        <is>
          <t>V200</t>
        </is>
      </c>
      <c r="S2" s="1" t="inlineStr">
        <is>
          <t>ungeklärter Status</t>
        </is>
      </c>
      <c r="T2" s="1" t="inlineStr">
        <is>
          <t>U1</t>
        </is>
      </c>
    </row>
    <row r="3">
      <c r="A3" s="1" t="inlineStr">
        <is>
          <t>Vorversicherung</t>
        </is>
      </c>
      <c r="B3" s="3" t="inlineStr">
        <is>
          <t>V200</t>
        </is>
      </c>
      <c r="D3" s="1" t="inlineStr">
        <is>
          <t>Waren Sie in den letzten fünf Jahren in einer deutschen GKV versichert</t>
        </is>
      </c>
      <c r="E3" s="1">
        <f>I3&amp;IF(K3="","",";"&amp;K3)&amp;IF(M3="","",";"&amp;M3)&amp;IF(O3="","",";"&amp;O3)&amp;IF(Q3="","",";"&amp;Q3)&amp;IF(T3="","",";"&amp;T3)</f>
        <v/>
      </c>
      <c r="F3" s="5">
        <f>IF(I3="",0,1)+IF(K3="",0,1)+IF(M3="",0,1)+IF(O3="",0,1)+IF(Q3="",0,1)+IF(S3="",0,1)</f>
        <v/>
      </c>
      <c r="G3" s="5" t="inlineStr">
        <is>
          <t>Button</t>
        </is>
      </c>
      <c r="H3" s="1" t="inlineStr">
        <is>
          <t>one Choice</t>
        </is>
      </c>
      <c r="I3" s="1" t="inlineStr">
        <is>
          <t>ja</t>
        </is>
      </c>
      <c r="J3" s="3" t="inlineStr">
        <is>
          <t>V300</t>
        </is>
      </c>
      <c r="K3" s="1" t="inlineStr">
        <is>
          <t>nein</t>
        </is>
      </c>
      <c r="L3" s="3" t="inlineStr">
        <is>
          <t>V300</t>
        </is>
      </c>
    </row>
    <row r="4">
      <c r="A4" s="1" t="inlineStr">
        <is>
          <t>Vorversicherung</t>
        </is>
      </c>
      <c r="B4" s="3" t="inlineStr">
        <is>
          <t>V300</t>
        </is>
      </c>
      <c r="C4" t="inlineStr">
        <is>
          <t>ja</t>
        </is>
      </c>
      <c r="D4" s="1" t="inlineStr">
        <is>
          <t>Waren Sie in den letzten fünf Jahren in einer ausländischen innerhalb der EU, der Schweiz, Norwegen, Grosss-Britanien, Ex Jugoslawien GKV versichert</t>
        </is>
      </c>
      <c r="E4" s="1">
        <f>I4&amp;IF(K4="","",";"&amp;K4)&amp;IF(M4="","",";"&amp;M4)&amp;IF(O4="","",";"&amp;O4)&amp;IF(Q4="","",";"&amp;Q4)&amp;IF(T4="","",";"&amp;T4)</f>
        <v/>
      </c>
      <c r="F4" s="5">
        <f>IF(I4="",0,1)+IF(K4="",0,1)+IF(M4="",0,1)+IF(O4="",0,1)+IF(Q4="",0,1)+IF(S4="",0,1)</f>
        <v/>
      </c>
      <c r="G4" s="5" t="inlineStr">
        <is>
          <t>Button</t>
        </is>
      </c>
      <c r="H4" s="1" t="inlineStr">
        <is>
          <t>one Choice</t>
        </is>
      </c>
      <c r="I4" s="1" t="inlineStr">
        <is>
          <t>ja</t>
        </is>
      </c>
      <c r="J4" s="3" t="inlineStr">
        <is>
          <t>V400</t>
        </is>
      </c>
      <c r="K4" s="1" t="inlineStr">
        <is>
          <t>nein</t>
        </is>
      </c>
      <c r="L4" s="3" t="inlineStr">
        <is>
          <t>V400</t>
        </is>
      </c>
    </row>
    <row r="5">
      <c r="A5" s="1" t="inlineStr">
        <is>
          <t>Vorversicherung</t>
        </is>
      </c>
      <c r="B5" s="3" t="inlineStr">
        <is>
          <t>V400</t>
        </is>
      </c>
      <c r="C5" t="inlineStr">
        <is>
          <t>ja</t>
        </is>
      </c>
      <c r="D5" s="1" t="inlineStr">
        <is>
          <t>Waren Sie in den letzten 12 Monaten in einer ausländischen innerhalb der EU, der Schweiz, Norwegen, Grosss-Britanien, Ex Jugoslawien GKV versichert</t>
        </is>
      </c>
      <c r="E5" s="1">
        <f>I5&amp;IF(K5="","",";"&amp;K5)&amp;IF(M5="","",";"&amp;M5)&amp;IF(O5="","",";"&amp;O5)&amp;IF(Q5="","",";"&amp;Q5)&amp;IF(T5="","",";"&amp;T5)</f>
        <v/>
      </c>
      <c r="F5" s="5">
        <f>IF(I5="",0,1)+IF(K5="",0,1)+IF(M5="",0,1)+IF(O5="",0,1)+IF(Q5="",0,1)+IF(S5="",0,1)</f>
        <v/>
      </c>
      <c r="G5" s="5" t="inlineStr">
        <is>
          <t>Button</t>
        </is>
      </c>
      <c r="H5" s="1" t="inlineStr">
        <is>
          <t>one Choice</t>
        </is>
      </c>
      <c r="I5" s="1" t="inlineStr">
        <is>
          <t>ja</t>
        </is>
      </c>
      <c r="J5" s="3" t="inlineStr">
        <is>
          <t>A500</t>
        </is>
      </c>
      <c r="K5" s="1" t="inlineStr">
        <is>
          <t>nein</t>
        </is>
      </c>
      <c r="L5" s="3" t="inlineStr">
        <is>
          <t>A500</t>
        </is>
      </c>
    </row>
    <row r="6">
      <c r="A6" s="1" t="inlineStr">
        <is>
          <t>Alter</t>
        </is>
      </c>
      <c r="B6" s="3" t="inlineStr">
        <is>
          <t>A500</t>
        </is>
      </c>
      <c r="C6" t="inlineStr">
        <is>
          <t>jünger als 55 Jahre</t>
        </is>
      </c>
      <c r="D6" s="1" t="inlineStr">
        <is>
          <t>Wie alt sind Sie aktuell</t>
        </is>
      </c>
      <c r="E6" s="1">
        <f>I6&amp;IF(K6="","",";"&amp;K6)&amp;IF(M6="","",";"&amp;M6)&amp;IF(O6="","",";"&amp;O6)&amp;IF(Q6="","",";"&amp;Q6)&amp;IF(T6="","",";"&amp;T6)</f>
        <v/>
      </c>
      <c r="F6" s="5">
        <f>IF(I6="",0,1)+IF(K6="",0,1)+IF(M6="",0,1)+IF(O6="",0,1)+IF(Q6="",0,1)+IF(S6="",0,1)</f>
        <v/>
      </c>
      <c r="G6" s="5" t="inlineStr">
        <is>
          <t>Button</t>
        </is>
      </c>
      <c r="H6" s="1" t="inlineStr">
        <is>
          <t>one Choice</t>
        </is>
      </c>
      <c r="I6" s="1" t="inlineStr">
        <is>
          <t>jünger als 55 Jahre</t>
        </is>
      </c>
      <c r="J6" s="3" t="inlineStr">
        <is>
          <t>F600</t>
        </is>
      </c>
      <c r="K6" s="1" t="inlineStr">
        <is>
          <t>älter als 54 Jahre</t>
        </is>
      </c>
      <c r="L6" s="1" t="inlineStr">
        <is>
          <t>F600</t>
        </is>
      </c>
    </row>
    <row r="7">
      <c r="A7" s="1" t="inlineStr">
        <is>
          <t>Familienstand</t>
        </is>
      </c>
      <c r="B7" s="3" t="inlineStr">
        <is>
          <t>F600</t>
        </is>
      </c>
      <c r="C7" t="inlineStr">
        <is>
          <t>ja</t>
        </is>
      </c>
      <c r="D7" s="1" t="inlineStr">
        <is>
          <t>Sind Sie zurzeit verheiratet</t>
        </is>
      </c>
      <c r="E7" s="1">
        <f>I7&amp;IF(K7="","",";"&amp;K7)&amp;IF(M7="","",";"&amp;M7)&amp;IF(O7="","",";"&amp;O7)&amp;IF(Q7="","",";"&amp;Q7)&amp;IF(T7="","",";"&amp;T7)</f>
        <v/>
      </c>
      <c r="F7" s="5">
        <f>IF(I7="",0,1)+IF(K7="",0,1)+IF(M7="",0,1)+IF(O7="",0,1)+IF(Q7="",0,1)+IF(S7="",0,1)</f>
        <v/>
      </c>
      <c r="G7" s="5" t="inlineStr">
        <is>
          <t>Button</t>
        </is>
      </c>
      <c r="H7" s="1" t="inlineStr">
        <is>
          <t>one Choice</t>
        </is>
      </c>
      <c r="I7" s="1" t="inlineStr">
        <is>
          <t>ja</t>
        </is>
      </c>
      <c r="J7" s="3" t="inlineStr">
        <is>
          <t>F720</t>
        </is>
      </c>
      <c r="K7" s="1" t="inlineStr">
        <is>
          <t>nein</t>
        </is>
      </c>
      <c r="L7" s="1" t="inlineStr">
        <is>
          <t>F710</t>
        </is>
      </c>
    </row>
    <row r="8">
      <c r="A8" s="1" t="inlineStr">
        <is>
          <t>Familienstand</t>
        </is>
      </c>
      <c r="B8" s="3" t="inlineStr">
        <is>
          <t>F710</t>
        </is>
      </c>
      <c r="D8" s="1" t="inlineStr">
        <is>
          <t>Beabsichtigen Sie in naher Zukunft zu heiraten ?</t>
        </is>
      </c>
      <c r="E8" s="1">
        <f>I8&amp;IF(K8="","",";"&amp;K8)&amp;IF(M8="","",";"&amp;M8)&amp;IF(O8="","",";"&amp;O8)&amp;IF(Q8="","",";"&amp;Q8)&amp;IF(T8="","",";"&amp;T8)</f>
        <v/>
      </c>
      <c r="F8" s="5">
        <f>IF(I8="",0,1)+IF(K8="",0,1)+IF(M8="",0,1)+IF(O8="",0,1)+IF(Q8="",0,1)+IF(S8="",0,1)</f>
        <v/>
      </c>
      <c r="G8" s="5" t="inlineStr">
        <is>
          <t>Button</t>
        </is>
      </c>
      <c r="H8" s="1" t="inlineStr">
        <is>
          <t>one Choice</t>
        </is>
      </c>
      <c r="I8" s="1" t="inlineStr">
        <is>
          <t>ja</t>
        </is>
      </c>
      <c r="J8" s="3" t="inlineStr">
        <is>
          <t>F721</t>
        </is>
      </c>
      <c r="K8" s="1" t="inlineStr">
        <is>
          <t>nein</t>
        </is>
      </c>
      <c r="L8" s="1" t="inlineStr">
        <is>
          <t>B900</t>
        </is>
      </c>
    </row>
    <row r="9">
      <c r="A9" s="1" t="inlineStr">
        <is>
          <t>Familienstand</t>
        </is>
      </c>
      <c r="B9" s="3" t="inlineStr">
        <is>
          <t>F720</t>
        </is>
      </c>
      <c r="C9" t="inlineStr">
        <is>
          <t>GKV</t>
        </is>
      </c>
      <c r="D9" s="1" t="inlineStr">
        <is>
          <t>Wie ist Ihr Ehepartner zuzeit versichert?</t>
        </is>
      </c>
      <c r="E9" s="1">
        <f>I9&amp;IF(K9="","",";"&amp;K9)&amp;IF(M9="","",";"&amp;M9)&amp;IF(O9="","",";"&amp;O9)&amp;IF(Q9="","",";"&amp;Q9)&amp;IF(T9="","",";"&amp;T9)</f>
        <v/>
      </c>
      <c r="F9" s="5">
        <f>IF(I9="",0,1)+IF(K9="",0,1)+IF(M9="",0,1)+IF(O9="",0,1)+IF(Q9="",0,1)+IF(S9="",0,1)</f>
        <v/>
      </c>
      <c r="G9" s="5" t="inlineStr">
        <is>
          <t>Button</t>
        </is>
      </c>
      <c r="H9" s="1" t="inlineStr">
        <is>
          <t>one Choice</t>
        </is>
      </c>
      <c r="I9" s="1" t="inlineStr">
        <is>
          <t>GKV</t>
        </is>
      </c>
      <c r="J9" s="3" t="inlineStr">
        <is>
          <t>F800</t>
        </is>
      </c>
      <c r="K9" s="1" t="inlineStr">
        <is>
          <t>PKV</t>
        </is>
      </c>
      <c r="L9" s="1" t="inlineStr">
        <is>
          <t>F800</t>
        </is>
      </c>
      <c r="M9" s="1" t="inlineStr">
        <is>
          <t>ausländische KV</t>
        </is>
      </c>
      <c r="N9" s="1" t="inlineStr">
        <is>
          <t>F800</t>
        </is>
      </c>
      <c r="O9" s="1" t="inlineStr">
        <is>
          <t>unversichert</t>
        </is>
      </c>
      <c r="P9" s="1" t="inlineStr">
        <is>
          <t>F800</t>
        </is>
      </c>
      <c r="Q9" s="1" t="inlineStr">
        <is>
          <t>anderweitig</t>
        </is>
      </c>
      <c r="R9" s="1" t="inlineStr">
        <is>
          <t>F800</t>
        </is>
      </c>
    </row>
    <row r="10">
      <c r="A10" s="1" t="inlineStr">
        <is>
          <t>Familienstand</t>
        </is>
      </c>
      <c r="B10" s="3" t="inlineStr">
        <is>
          <t>F721</t>
        </is>
      </c>
      <c r="D10" s="1" t="inlineStr">
        <is>
          <t>Wie ist Ihr möglicher Ehepartner zuzeit versichert?</t>
        </is>
      </c>
      <c r="E10" s="1">
        <f>I10&amp;IF(K10="","",";"&amp;K10)&amp;IF(M10="","",";"&amp;M10)&amp;IF(O10="","",";"&amp;O10)&amp;IF(Q10="","",";"&amp;Q10)&amp;IF(T10="","",";"&amp;T10)</f>
        <v/>
      </c>
      <c r="F10" s="5">
        <f>IF(I10="",0,1)+IF(K10="",0,1)+IF(M10="",0,1)+IF(O10="",0,1)+IF(Q10="",0,1)+IF(S10="",0,1)</f>
        <v/>
      </c>
      <c r="G10" s="5" t="inlineStr">
        <is>
          <t>Button</t>
        </is>
      </c>
      <c r="H10" s="1" t="inlineStr">
        <is>
          <t>one Choice</t>
        </is>
      </c>
      <c r="I10" s="1" t="inlineStr">
        <is>
          <t>GKV</t>
        </is>
      </c>
      <c r="J10" s="3" t="inlineStr">
        <is>
          <t>F800</t>
        </is>
      </c>
      <c r="K10" s="1" t="inlineStr">
        <is>
          <t>PKV</t>
        </is>
      </c>
      <c r="L10" s="3" t="inlineStr">
        <is>
          <t>F800</t>
        </is>
      </c>
      <c r="M10" s="1" t="inlineStr">
        <is>
          <t>ausländische KV</t>
        </is>
      </c>
      <c r="N10" s="3" t="inlineStr">
        <is>
          <t>F800</t>
        </is>
      </c>
      <c r="O10" s="1" t="inlineStr">
        <is>
          <t>unversichert</t>
        </is>
      </c>
      <c r="P10" s="3" t="inlineStr">
        <is>
          <t>F800</t>
        </is>
      </c>
      <c r="Q10" s="1" t="inlineStr">
        <is>
          <t>anderweitig</t>
        </is>
      </c>
      <c r="R10" s="3" t="inlineStr">
        <is>
          <t>F800</t>
        </is>
      </c>
    </row>
    <row r="11">
      <c r="A11" s="1" t="inlineStr">
        <is>
          <t>Familienstand</t>
        </is>
      </c>
      <c r="B11" s="6" t="inlineStr">
        <is>
          <t>F800</t>
        </is>
      </c>
      <c r="C11" t="inlineStr">
        <is>
          <t>Arbeitslos</t>
        </is>
      </c>
      <c r="D11" s="1" t="inlineStr">
        <is>
          <t>Was macht ihr Ehepartner beruflich</t>
        </is>
      </c>
      <c r="E11" s="1">
        <f>I11&amp;IF(K11="","",";"&amp;K11)&amp;IF(M11="","",";"&amp;M11)&amp;IF(O11="","",";"&amp;O11)&amp;IF(Q11="","",";"&amp;Q11)&amp;IF(T11="","",";"&amp;T11)</f>
        <v/>
      </c>
      <c r="F11" s="5">
        <f>IF(I11="",0,1)+IF(K11="",0,1)+IF(M11="",0,1)+IF(O11="",0,1)+IF(Q11="",0,1)+IF(S11="",0,1)</f>
        <v/>
      </c>
      <c r="G11" s="5" t="inlineStr">
        <is>
          <t>Button</t>
        </is>
      </c>
      <c r="H11" s="1" t="inlineStr">
        <is>
          <t>multiple Choice</t>
        </is>
      </c>
      <c r="I11" s="1" t="inlineStr">
        <is>
          <t>Angestellter</t>
        </is>
      </c>
      <c r="J11" s="3" t="inlineStr">
        <is>
          <t>B900</t>
        </is>
      </c>
      <c r="K11" s="1" t="inlineStr">
        <is>
          <t>Selbstständig</t>
        </is>
      </c>
      <c r="L11" s="1" t="inlineStr">
        <is>
          <t>B900</t>
        </is>
      </c>
      <c r="M11" s="1" t="inlineStr">
        <is>
          <t>Beamter</t>
        </is>
      </c>
      <c r="N11" s="1" t="inlineStr">
        <is>
          <t>B900</t>
        </is>
      </c>
      <c r="O11" s="1" t="inlineStr">
        <is>
          <t>Landwirt</t>
        </is>
      </c>
      <c r="P11" s="1" t="inlineStr">
        <is>
          <t>B900</t>
        </is>
      </c>
      <c r="Q11" s="1" t="inlineStr">
        <is>
          <t>Arbeitslos</t>
        </is>
      </c>
      <c r="R11" s="1" t="inlineStr">
        <is>
          <t>B900</t>
        </is>
      </c>
      <c r="S11" s="1" t="inlineStr">
        <is>
          <t>Sonstiges</t>
        </is>
      </c>
      <c r="T11" s="1" t="inlineStr">
        <is>
          <t>B900</t>
        </is>
      </c>
    </row>
    <row r="12">
      <c r="A12" s="1" t="inlineStr">
        <is>
          <t>Beruf</t>
        </is>
      </c>
      <c r="B12" s="3" t="inlineStr">
        <is>
          <t>B900</t>
        </is>
      </c>
      <c r="C12" t="inlineStr">
        <is>
          <t>ja</t>
        </is>
      </c>
      <c r="D12" s="1" t="inlineStr">
        <is>
          <t>Sie sind zurzeit Angestellt tätig?</t>
        </is>
      </c>
      <c r="E12" s="1">
        <f>I12&amp;IF(K12="","",";"&amp;K12)&amp;IF(M12="","",";"&amp;M12)&amp;IF(O12="","",";"&amp;O12)&amp;IF(Q12="","",";"&amp;Q12)&amp;IF(T12="","",";"&amp;T12)</f>
        <v/>
      </c>
      <c r="F12" s="5">
        <f>IF(I12="",0,1)+IF(K12="",0,1)+IF(M12="",0,1)+IF(O12="",0,1)+IF(Q12="",0,1)+IF(S12="",0,1)</f>
        <v/>
      </c>
      <c r="G12" s="5" t="inlineStr">
        <is>
          <t>Button</t>
        </is>
      </c>
      <c r="H12" s="1" t="inlineStr">
        <is>
          <t>one Choice</t>
        </is>
      </c>
      <c r="I12" s="1" t="inlineStr">
        <is>
          <t>ja</t>
        </is>
      </c>
      <c r="J12" s="3" t="inlineStr">
        <is>
          <t>B1000</t>
        </is>
      </c>
      <c r="K12" s="1" t="inlineStr">
        <is>
          <t>nein</t>
        </is>
      </c>
      <c r="L12" s="1" t="inlineStr">
        <is>
          <t>B1000</t>
        </is>
      </c>
    </row>
    <row r="13">
      <c r="A13" s="1" t="inlineStr">
        <is>
          <t>Beruf</t>
        </is>
      </c>
      <c r="B13" s="3" t="inlineStr">
        <is>
          <t>B1000</t>
        </is>
      </c>
      <c r="C13" t="inlineStr">
        <is>
          <t>ja</t>
        </is>
      </c>
      <c r="D13" s="1" t="inlineStr">
        <is>
          <t>sie sind zurzeit selbsttändig tätig?</t>
        </is>
      </c>
      <c r="E13" s="1">
        <f>I13&amp;IF(K13="","",";"&amp;K13)&amp;IF(M13="","",";"&amp;M13)&amp;IF(O13="","",";"&amp;O13)&amp;IF(Q13="","",";"&amp;Q13)&amp;IF(T13="","",";"&amp;T13)</f>
        <v/>
      </c>
      <c r="F13" s="5">
        <f>IF(I13="",0,1)+IF(K13="",0,1)+IF(M13="",0,1)+IF(O13="",0,1)+IF(Q13="",0,1)+IF(S13="",0,1)</f>
        <v/>
      </c>
      <c r="G13" s="5" t="inlineStr">
        <is>
          <t>Button</t>
        </is>
      </c>
      <c r="H13" s="1" t="inlineStr">
        <is>
          <t>one Choice</t>
        </is>
      </c>
      <c r="I13" s="1" t="inlineStr">
        <is>
          <t>ja</t>
        </is>
      </c>
      <c r="J13" s="3" t="inlineStr">
        <is>
          <t>B1010</t>
        </is>
      </c>
      <c r="K13" s="1" t="inlineStr">
        <is>
          <t>nein</t>
        </is>
      </c>
      <c r="L13" s="1" t="inlineStr">
        <is>
          <t>B1100</t>
        </is>
      </c>
    </row>
    <row r="14">
      <c r="A14" s="1" t="inlineStr">
        <is>
          <t>Beruf</t>
        </is>
      </c>
      <c r="B14" s="3" t="inlineStr">
        <is>
          <t>B1010</t>
        </is>
      </c>
      <c r="C14" t="inlineStr">
        <is>
          <t>ja</t>
        </is>
      </c>
      <c r="D14" s="1" t="inlineStr">
        <is>
          <t>Sie beschäfigen Angestellte?</t>
        </is>
      </c>
      <c r="E14" s="1">
        <f>I14&amp;IF(K14="","",";"&amp;K14)&amp;IF(M14="","",";"&amp;M14)&amp;IF(O14="","",";"&amp;O14)&amp;IF(Q14="","",";"&amp;Q14)&amp;IF(T14="","",";"&amp;T14)</f>
        <v/>
      </c>
      <c r="F14" s="5">
        <f>IF(I14="",0,1)+IF(K14="",0,1)+IF(M14="",0,1)+IF(O14="",0,1)+IF(Q14="",0,1)+IF(S14="",0,1)</f>
        <v/>
      </c>
      <c r="G14" s="5" t="inlineStr">
        <is>
          <t>Button</t>
        </is>
      </c>
      <c r="H14" s="1" t="inlineStr">
        <is>
          <t>one Choice</t>
        </is>
      </c>
      <c r="I14" s="1" t="inlineStr">
        <is>
          <t>ja</t>
        </is>
      </c>
      <c r="J14" s="3" t="inlineStr">
        <is>
          <t>B1011</t>
        </is>
      </c>
      <c r="K14" s="1" t="inlineStr">
        <is>
          <t>nein</t>
        </is>
      </c>
      <c r="L14" s="1" t="inlineStr">
        <is>
          <t>B1020</t>
        </is>
      </c>
    </row>
    <row r="15">
      <c r="A15" s="1" t="inlineStr">
        <is>
          <t>Beruf</t>
        </is>
      </c>
      <c r="B15" s="3" t="inlineStr">
        <is>
          <t>B1011</t>
        </is>
      </c>
      <c r="C15" t="inlineStr">
        <is>
          <t>ja</t>
        </is>
      </c>
      <c r="D15" s="1" t="inlineStr">
        <is>
          <t>Verdienen alle Angestellten  zusammen mehr als die Minijobgrenze</t>
        </is>
      </c>
      <c r="E15" s="1">
        <f>I15&amp;IF(K15="","",";"&amp;K15)&amp;IF(M15="","",";"&amp;M15)&amp;IF(O15="","",";"&amp;O15)&amp;IF(Q15="","",";"&amp;Q15)&amp;IF(T15="","",";"&amp;T15)</f>
        <v/>
      </c>
      <c r="F15" s="5">
        <f>IF(I15="",0,1)+IF(K15="",0,1)+IF(M15="",0,1)+IF(O15="",0,1)+IF(Q15="",0,1)+IF(S15="",0,1)</f>
        <v/>
      </c>
      <c r="G15" s="5" t="inlineStr">
        <is>
          <t>Button</t>
        </is>
      </c>
      <c r="H15" s="1" t="inlineStr">
        <is>
          <t>one Choice</t>
        </is>
      </c>
      <c r="I15" s="1" t="inlineStr">
        <is>
          <t>ja</t>
        </is>
      </c>
      <c r="J15" s="3" t="inlineStr">
        <is>
          <t>B1020</t>
        </is>
      </c>
      <c r="K15" s="1" t="inlineStr">
        <is>
          <t>nein</t>
        </is>
      </c>
      <c r="L15" s="1" t="inlineStr">
        <is>
          <t>B1020</t>
        </is>
      </c>
    </row>
    <row r="16">
      <c r="A16" s="1" t="inlineStr">
        <is>
          <t>Beruf</t>
        </is>
      </c>
      <c r="B16" s="3" t="inlineStr">
        <is>
          <t>B1020</t>
        </is>
      </c>
      <c r="C16" t="inlineStr">
        <is>
          <t>bis 20</t>
        </is>
      </c>
      <c r="D16" s="1" t="inlineStr">
        <is>
          <t>Wieviele Wochenstuden arbeiten Sie als Selbstständiger</t>
        </is>
      </c>
      <c r="E16" s="1">
        <f>I16&amp;IF(K16="","",";"&amp;K16)&amp;IF(M16="","",";"&amp;M16)&amp;IF(O16="","",";"&amp;O16)&amp;IF(Q16="","",";"&amp;Q16)&amp;IF(T16="","",";"&amp;T16)</f>
        <v/>
      </c>
      <c r="F16" s="5">
        <f>IF(I16="",0,1)+IF(K16="",0,1)+IF(M16="",0,1)+IF(O16="",0,1)+IF(Q16="",0,1)+IF(S16="",0,1)</f>
        <v/>
      </c>
      <c r="G16" s="5" t="inlineStr">
        <is>
          <t>Button</t>
        </is>
      </c>
      <c r="H16" s="1" t="inlineStr">
        <is>
          <t>one Choice</t>
        </is>
      </c>
      <c r="I16" s="1" t="inlineStr">
        <is>
          <t>bis 20</t>
        </is>
      </c>
      <c r="J16" s="3" t="inlineStr">
        <is>
          <t>B1100</t>
        </is>
      </c>
      <c r="K16" s="1" t="inlineStr">
        <is>
          <t>bis 30</t>
        </is>
      </c>
      <c r="L16" s="1" t="inlineStr">
        <is>
          <t>B1100</t>
        </is>
      </c>
      <c r="M16" s="1" t="inlineStr">
        <is>
          <t>über 30</t>
        </is>
      </c>
      <c r="N16" s="1" t="inlineStr">
        <is>
          <t>B1100</t>
        </is>
      </c>
    </row>
    <row r="17">
      <c r="A17" s="1" t="inlineStr">
        <is>
          <t>Beruf</t>
        </is>
      </c>
      <c r="B17" s="3" t="inlineStr">
        <is>
          <t>B1100</t>
        </is>
      </c>
      <c r="C17" t="inlineStr">
        <is>
          <t>ja</t>
        </is>
      </c>
      <c r="D17" s="1" t="inlineStr">
        <is>
          <t>Sind Sie Beamter</t>
        </is>
      </c>
      <c r="E17" s="1">
        <f>I17&amp;IF(K17="","",";"&amp;K17)&amp;IF(M17="","",";"&amp;M17)&amp;IF(O17="","",";"&amp;O17)&amp;IF(Q17="","",";"&amp;Q17)&amp;IF(T17="","",";"&amp;T17)</f>
        <v/>
      </c>
      <c r="F17" s="5">
        <f>IF(I17="",0,1)+IF(K17="",0,1)+IF(M17="",0,1)+IF(O17="",0,1)+IF(Q17="",0,1)+IF(S17="",0,1)</f>
        <v/>
      </c>
      <c r="G17" s="5" t="inlineStr">
        <is>
          <t>Button</t>
        </is>
      </c>
      <c r="H17" s="1" t="inlineStr">
        <is>
          <t>one Choice</t>
        </is>
      </c>
      <c r="I17" s="1" t="inlineStr">
        <is>
          <t>ja</t>
        </is>
      </c>
      <c r="J17" s="1" t="inlineStr">
        <is>
          <t>B1200</t>
        </is>
      </c>
      <c r="K17" s="1" t="inlineStr">
        <is>
          <t>nein</t>
        </is>
      </c>
      <c r="L17" s="1" t="inlineStr">
        <is>
          <t>B1200</t>
        </is>
      </c>
    </row>
    <row r="18">
      <c r="A18" s="1" t="inlineStr">
        <is>
          <t>Beruf</t>
        </is>
      </c>
      <c r="B18" s="3" t="inlineStr">
        <is>
          <t>B1200</t>
        </is>
      </c>
      <c r="C18" t="inlineStr">
        <is>
          <t>ja</t>
        </is>
      </c>
      <c r="D18" s="1" t="inlineStr">
        <is>
          <t>Sind Sie Landwirt</t>
        </is>
      </c>
      <c r="E18" s="1">
        <f>I18&amp;IF(K18="","",";"&amp;K18)&amp;IF(M18="","",";"&amp;M18)&amp;IF(O18="","",";"&amp;O18)&amp;IF(Q18="","",";"&amp;Q18)&amp;IF(T18="","",";"&amp;T18)</f>
        <v/>
      </c>
      <c r="F18" s="5">
        <f>IF(I18="",0,1)+IF(K18="",0,1)+IF(M18="",0,1)+IF(O18="",0,1)+IF(Q18="",0,1)+IF(S18="",0,1)</f>
        <v/>
      </c>
      <c r="G18" s="5" t="inlineStr">
        <is>
          <t>Button</t>
        </is>
      </c>
      <c r="H18" s="1" t="inlineStr">
        <is>
          <t>one Choice</t>
        </is>
      </c>
      <c r="I18" s="1" t="inlineStr">
        <is>
          <t>ja</t>
        </is>
      </c>
      <c r="J18" s="1" t="inlineStr">
        <is>
          <t>K1</t>
        </is>
      </c>
      <c r="K18" s="1" t="inlineStr">
        <is>
          <t>nein</t>
        </is>
      </c>
      <c r="L18" s="1" t="inlineStr">
        <is>
          <t>K1</t>
        </is>
      </c>
    </row>
    <row r="19">
      <c r="A19" s="1" t="inlineStr">
        <is>
          <t>Kinder</t>
        </is>
      </c>
      <c r="B19" s="3" t="inlineStr">
        <is>
          <t>K1</t>
        </is>
      </c>
      <c r="C19" t="inlineStr">
        <is>
          <t>0</t>
        </is>
      </c>
      <c r="D19" s="1" t="inlineStr">
        <is>
          <t>Wieviel leibliche Kinder haben sie gezeugt, auch wenn diese schon gestorben sind oder nicht mehr bei den Eltern leben?</t>
        </is>
      </c>
      <c r="E19" s="1">
        <f>I19&amp;IF(K19="","",";"&amp;K19)&amp;IF(M19="","",";"&amp;M19)&amp;IF(O19="","",";"&amp;O19)&amp;IF(Q19="","",";"&amp;Q19)&amp;IF(T19="","",";"&amp;T19)</f>
        <v/>
      </c>
      <c r="F19" s="5">
        <f>IF(I19="",0,1)+IF(K19="",0,1)+IF(M19="",0,1)+IF(O19="",0,1)+IF(Q19="",0,1)+IF(S19="",0,1)</f>
        <v/>
      </c>
      <c r="G19" s="1" t="inlineStr">
        <is>
          <t>Eingabefeld</t>
        </is>
      </c>
      <c r="H19" s="1" t="inlineStr">
        <is>
          <t>Ganze Zahl</t>
        </is>
      </c>
      <c r="J19" s="1" t="inlineStr">
        <is>
          <t>K2</t>
        </is>
      </c>
    </row>
    <row r="20">
      <c r="A20" s="1" t="inlineStr">
        <is>
          <t>Kinder</t>
        </is>
      </c>
      <c r="B20" s="3" t="inlineStr">
        <is>
          <t>K2</t>
        </is>
      </c>
      <c r="C20" t="inlineStr">
        <is>
          <t>0</t>
        </is>
      </c>
      <c r="D20" s="1" t="inlineStr">
        <is>
          <t>Wieviel Pflegekinder haben Sie betreut , auch wenn diese schon gestorben sind oder nicht mehr bei den Eltern leben?</t>
        </is>
      </c>
      <c r="E20" s="1">
        <f>I20&amp;IF(K20="","",";"&amp;K20)&amp;IF(M20="","",";"&amp;M20)&amp;IF(O20="","",";"&amp;O20)&amp;IF(Q20="","",";"&amp;Q20)&amp;IF(T20="","",";"&amp;T20)</f>
        <v/>
      </c>
      <c r="F20" s="5">
        <f>IF(I20="",0,1)+IF(K20="",0,1)+IF(M20="",0,1)+IF(O20="",0,1)+IF(Q20="",0,1)+IF(S20="",0,1)</f>
        <v/>
      </c>
      <c r="G20" s="1" t="inlineStr">
        <is>
          <t>Eingabefeld</t>
        </is>
      </c>
      <c r="H20" s="1" t="inlineStr">
        <is>
          <t>Ganze Zahl</t>
        </is>
      </c>
      <c r="J20" s="1" t="inlineStr">
        <is>
          <t>K3</t>
        </is>
      </c>
    </row>
    <row r="21">
      <c r="A21" s="1" t="inlineStr">
        <is>
          <t>Kinder</t>
        </is>
      </c>
      <c r="B21" s="3" t="inlineStr">
        <is>
          <t>K3</t>
        </is>
      </c>
      <c r="C21" t="inlineStr">
        <is>
          <t>0</t>
        </is>
      </c>
      <c r="D21" s="1" t="inlineStr">
        <is>
          <t>Wieviele Stiefkinder oder  adoptierte Kinder?</t>
        </is>
      </c>
      <c r="E21" s="1">
        <f>I21&amp;IF(K21="","",";"&amp;K21)&amp;IF(M21="","",";"&amp;M21)&amp;IF(O21="","",";"&amp;O21)&amp;IF(Q21="","",";"&amp;Q21)&amp;IF(T21="","",";"&amp;T21)</f>
        <v/>
      </c>
      <c r="F21" s="5">
        <f>IF(I21="",0,1)+IF(K21="",0,1)+IF(M21="",0,1)+IF(O21="",0,1)+IF(Q21="",0,1)+IF(S21="",0,1)</f>
        <v/>
      </c>
      <c r="G21" s="1" t="inlineStr">
        <is>
          <t>Eingabefeld</t>
        </is>
      </c>
      <c r="H21" s="1" t="inlineStr">
        <is>
          <t>Ganze Zahl</t>
        </is>
      </c>
      <c r="J21" s="1" t="inlineStr">
        <is>
          <t>K4</t>
        </is>
      </c>
    </row>
    <row r="22">
      <c r="A22" s="1" t="inlineStr">
        <is>
          <t>Kinder</t>
        </is>
      </c>
      <c r="B22" s="3" t="inlineStr">
        <is>
          <t>K4</t>
        </is>
      </c>
      <c r="C22" t="inlineStr">
        <is>
          <t>0</t>
        </is>
      </c>
      <c r="D22" s="1" t="inlineStr">
        <is>
          <t>Bei wieviel Kindern sind Sie im Rahmen der Kinderbetreuung zu Hause geblieben</t>
        </is>
      </c>
      <c r="F22" s="5">
        <f>IF(I22="",0,1)+IF(K22="",0,1)+IF(M22="",0,1)+IF(O22="",0,1)+IF(Q22="",0,1)+IF(S22="",0,1)</f>
        <v/>
      </c>
      <c r="G22" s="1" t="inlineStr">
        <is>
          <t>Eingabefeld</t>
        </is>
      </c>
      <c r="H22" s="1" t="inlineStr">
        <is>
          <t>Ganze Zahl</t>
        </is>
      </c>
      <c r="J22" s="1" t="inlineStr">
        <is>
          <t>E1</t>
        </is>
      </c>
    </row>
    <row r="23">
      <c r="A23" s="1" t="inlineStr">
        <is>
          <t>Einnahmen</t>
        </is>
      </c>
      <c r="B23" s="3" t="inlineStr">
        <is>
          <t>E1</t>
        </is>
      </c>
      <c r="C23" t="inlineStr">
        <is>
          <t>0</t>
        </is>
      </c>
      <c r="D23" s="1" t="inlineStr">
        <is>
          <t xml:space="preserve">Einnahmen aus sozialversicherungspflichtiger Tätigkeit, brutto im Monat </t>
        </is>
      </c>
      <c r="E23" s="1">
        <f>I23&amp;IF(K23="","",";"&amp;K23)&amp;IF(M23="","",";"&amp;M23)&amp;IF(O23="","",";"&amp;O23)&amp;IF(Q23="","",";"&amp;Q23)&amp;IF(T23="","",";"&amp;T23)</f>
        <v/>
      </c>
      <c r="F23" s="5">
        <f>IF(I23="",0,1)+IF(K23="",0,1)+IF(M23="",0,1)+IF(O23="",0,1)+IF(Q23="",0,1)+IF(S23="",0,1)</f>
        <v/>
      </c>
      <c r="G23" s="1" t="inlineStr">
        <is>
          <t>Eingabefeld</t>
        </is>
      </c>
      <c r="H23" s="1" t="inlineStr">
        <is>
          <t>EUR</t>
        </is>
      </c>
      <c r="J23" s="1" t="inlineStr">
        <is>
          <t>E2</t>
        </is>
      </c>
    </row>
    <row r="24">
      <c r="A24" s="1" t="inlineStr">
        <is>
          <t>Einnahmen</t>
        </is>
      </c>
      <c r="B24" s="3" t="inlineStr">
        <is>
          <t>E2</t>
        </is>
      </c>
      <c r="C24" t="inlineStr">
        <is>
          <t>0</t>
        </is>
      </c>
      <c r="D24" s="1" t="inlineStr">
        <is>
          <t>Einnahmen aus einem Mini-Job pro Monat</t>
        </is>
      </c>
      <c r="E24" s="1">
        <f>I24&amp;IF(K24="","",";"&amp;K24)&amp;IF(M24="","",";"&amp;M24)&amp;IF(O24="","",";"&amp;O24)&amp;IF(Q24="","",";"&amp;Q24)&amp;IF(T24="","",";"&amp;T24)</f>
        <v/>
      </c>
      <c r="F24" s="5">
        <f>IF(I24="",0,1)+IF(K24="",0,1)+IF(M24="",0,1)+IF(O24="",0,1)+IF(Q24="",0,1)+IF(S24="",0,1)</f>
        <v/>
      </c>
      <c r="G24" s="1" t="inlineStr">
        <is>
          <t>Eingabefeld</t>
        </is>
      </c>
      <c r="H24" s="1" t="inlineStr">
        <is>
          <t>EUR</t>
        </is>
      </c>
      <c r="J24" s="1" t="inlineStr">
        <is>
          <t>E3</t>
        </is>
      </c>
    </row>
    <row r="25">
      <c r="A25" s="1" t="inlineStr">
        <is>
          <t>Einnahmen</t>
        </is>
      </c>
      <c r="B25" s="3" t="inlineStr">
        <is>
          <t>E3</t>
        </is>
      </c>
      <c r="C25" t="inlineStr">
        <is>
          <t>1000</t>
        </is>
      </c>
      <c r="D25" s="1" t="inlineStr">
        <is>
          <t>Gewinn aus selbstständiger Tätigkeit pro Monat (gemäß letztem Einkommenssteuerbescheid). Verluste mit minus eintragen.</t>
        </is>
      </c>
      <c r="E25" s="1">
        <f>I25&amp;IF(K25="","",";"&amp;K25)&amp;IF(M25="","",";"&amp;M25)&amp;IF(O25="","",";"&amp;O25)&amp;IF(Q25="","",";"&amp;Q25)&amp;IF(T25="","",";"&amp;T25)</f>
        <v/>
      </c>
      <c r="F25" s="5">
        <f>IF(I25="",0,1)+IF(K25="",0,1)+IF(M25="",0,1)+IF(O25="",0,1)+IF(Q25="",0,1)+IF(S25="",0,1)</f>
        <v/>
      </c>
      <c r="G25" s="1" t="inlineStr">
        <is>
          <t>Eingabefeld</t>
        </is>
      </c>
      <c r="H25" s="1" t="inlineStr">
        <is>
          <t>EUR</t>
        </is>
      </c>
      <c r="J25" s="1" t="inlineStr">
        <is>
          <t>E4</t>
        </is>
      </c>
    </row>
    <row r="26">
      <c r="A26" s="1" t="inlineStr">
        <is>
          <t>Einnahmen</t>
        </is>
      </c>
      <c r="B26" s="3" t="inlineStr">
        <is>
          <t>E4</t>
        </is>
      </c>
      <c r="C26" t="inlineStr">
        <is>
          <t>0</t>
        </is>
      </c>
      <c r="D26" s="1" t="inlineStr">
        <is>
          <t>Gewinn aus Vermietung &amp; Verpachtung (gemäß letztem Einkommenssteuerbescheid). Verluste mit minus eintragen.</t>
        </is>
      </c>
      <c r="E26" s="1">
        <f>I26&amp;IF(K26="","",";"&amp;K26)&amp;IF(M26="","",";"&amp;M26)&amp;IF(O26="","",";"&amp;O26)&amp;IF(Q26="","",";"&amp;Q26)&amp;IF(T26="","",";"&amp;T26)</f>
        <v/>
      </c>
      <c r="F26" s="5">
        <f>IF(I26="",0,1)+IF(K26="",0,1)+IF(M26="",0,1)+IF(O26="",0,1)+IF(Q26="",0,1)+IF(S26="",0,1)</f>
        <v/>
      </c>
      <c r="G26" s="1" t="inlineStr">
        <is>
          <t>Eingabefeld</t>
        </is>
      </c>
      <c r="H26" s="1" t="inlineStr">
        <is>
          <t>EUR</t>
        </is>
      </c>
      <c r="J26" s="1" t="inlineStr">
        <is>
          <t>E5</t>
        </is>
      </c>
    </row>
    <row r="27">
      <c r="A27" s="1" t="inlineStr">
        <is>
          <t>Einnahmen</t>
        </is>
      </c>
      <c r="B27" s="3" t="inlineStr">
        <is>
          <t>E5</t>
        </is>
      </c>
      <c r="C27" t="inlineStr">
        <is>
          <t>0</t>
        </is>
      </c>
      <c r="D27" s="1" t="inlineStr">
        <is>
          <t>Gewinn aus Kapitalerträgen (gemäß letztem Einkommenssteuerbescheid). Verluste mit minus eintragen.</t>
        </is>
      </c>
      <c r="E27" s="1">
        <f>I27&amp;IF(K27="","",";"&amp;K27)&amp;IF(M27="","",";"&amp;M27)&amp;IF(O27="","",";"&amp;O27)&amp;IF(Q27="","",";"&amp;Q27)&amp;IF(T27="","",";"&amp;T27)</f>
        <v/>
      </c>
      <c r="F27" s="5">
        <f>IF(I27="",0,1)+IF(K27="",0,1)+IF(M27="",0,1)+IF(O27="",0,1)+IF(Q27="",0,1)+IF(S27="",0,1)</f>
        <v/>
      </c>
      <c r="G27" s="1" t="inlineStr">
        <is>
          <t>Eingabefeld</t>
        </is>
      </c>
      <c r="H27" s="1" t="inlineStr">
        <is>
          <t>EUR</t>
        </is>
      </c>
      <c r="J27" s="1" t="inlineStr">
        <is>
          <t>E55</t>
        </is>
      </c>
    </row>
    <row r="28">
      <c r="A28" s="1" t="inlineStr">
        <is>
          <t>Einnahmen</t>
        </is>
      </c>
      <c r="B28" s="3" t="inlineStr">
        <is>
          <t>E55</t>
        </is>
      </c>
      <c r="C28" t="inlineStr">
        <is>
          <t>0</t>
        </is>
      </c>
      <c r="D28" s="1" t="inlineStr">
        <is>
          <t>Altersrente der deutschen Rentenversicherung  ohne KV-Zuschuss</t>
        </is>
      </c>
      <c r="F28" s="5">
        <f>IF(I28="",0,1)+IF(K28="",0,1)+IF(M28="",0,1)+IF(O28="",0,1)+IF(Q28="",0,1)+IF(S28="",0,1)</f>
        <v/>
      </c>
      <c r="G28" s="1" t="inlineStr">
        <is>
          <t>Eingabefeld</t>
        </is>
      </c>
      <c r="H28" s="1" t="inlineStr">
        <is>
          <t>EUR</t>
        </is>
      </c>
      <c r="J28" s="1" t="inlineStr">
        <is>
          <t>E56</t>
        </is>
      </c>
    </row>
    <row r="29">
      <c r="A29" s="1" t="inlineStr">
        <is>
          <t>Einnahmen</t>
        </is>
      </c>
      <c r="B29" s="3" t="inlineStr">
        <is>
          <t>E56</t>
        </is>
      </c>
      <c r="C29" t="inlineStr">
        <is>
          <t>0</t>
        </is>
      </c>
      <c r="D29" s="1" t="inlineStr">
        <is>
          <t>Altersrente aus einem Versorgungswerk</t>
        </is>
      </c>
      <c r="F29" s="5">
        <f>IF(I29="",0,1)+IF(K29="",0,1)+IF(M29="",0,1)+IF(O29="",0,1)+IF(Q29="",0,1)+IF(S29="",0,1)</f>
        <v/>
      </c>
      <c r="G29" s="1" t="inlineStr">
        <is>
          <t>Eingabefeld</t>
        </is>
      </c>
      <c r="H29" s="1" t="inlineStr">
        <is>
          <t>EUR</t>
        </is>
      </c>
      <c r="J29" s="1" t="inlineStr">
        <is>
          <t>E6</t>
        </is>
      </c>
    </row>
    <row r="30">
      <c r="A30" s="1" t="inlineStr">
        <is>
          <t>Einnahmen</t>
        </is>
      </c>
      <c r="B30" s="3" t="inlineStr">
        <is>
          <t>E6</t>
        </is>
      </c>
      <c r="C30" t="inlineStr">
        <is>
          <t>0</t>
        </is>
      </c>
      <c r="D30" s="1" t="inlineStr">
        <is>
          <t>Betriebsrente pro Monat</t>
        </is>
      </c>
      <c r="E30" s="1">
        <f>I30&amp;IF(K30="","",";"&amp;K30)&amp;IF(M30="","",";"&amp;M30)&amp;IF(O30="","",";"&amp;O30)&amp;IF(Q30="","",";"&amp;Q30)&amp;IF(T30="","",";"&amp;T30)</f>
        <v/>
      </c>
      <c r="F30" s="5">
        <f>IF(I30="",0,1)+IF(K30="",0,1)+IF(M30="",0,1)+IF(O30="",0,1)+IF(Q30="",0,1)+IF(S30="",0,1)</f>
        <v/>
      </c>
      <c r="G30" s="1" t="inlineStr">
        <is>
          <t>Eingabefeld</t>
        </is>
      </c>
      <c r="H30" s="1" t="inlineStr">
        <is>
          <t>EUR</t>
        </is>
      </c>
      <c r="J30" s="1" t="inlineStr">
        <is>
          <t>E7</t>
        </is>
      </c>
    </row>
    <row r="31">
      <c r="A31" s="1" t="inlineStr">
        <is>
          <t>Einnahmen</t>
        </is>
      </c>
      <c r="B31" s="3" t="inlineStr">
        <is>
          <t>E7</t>
        </is>
      </c>
      <c r="C31" t="inlineStr">
        <is>
          <t>0</t>
        </is>
      </c>
      <c r="D31" s="1" t="inlineStr">
        <is>
          <t>Staatlich geförderte Rente pro Monat</t>
        </is>
      </c>
      <c r="E31" s="1">
        <f>I31&amp;IF(K31="","",";"&amp;K31)&amp;IF(M31="","",";"&amp;M31)&amp;IF(O31="","",";"&amp;O31)&amp;IF(Q31="","",";"&amp;Q31)&amp;IF(T31="","",";"&amp;T31)</f>
        <v/>
      </c>
      <c r="F31" s="5">
        <f>IF(I31="",0,1)+IF(K31="",0,1)+IF(M31="",0,1)+IF(O31="",0,1)+IF(Q31="",0,1)+IF(S31="",0,1)</f>
        <v/>
      </c>
      <c r="G31" s="1" t="inlineStr">
        <is>
          <t>Eingabefeld</t>
        </is>
      </c>
      <c r="H31" s="1" t="inlineStr">
        <is>
          <t>EUR</t>
        </is>
      </c>
      <c r="J31" s="1" t="inlineStr">
        <is>
          <t>E8</t>
        </is>
      </c>
    </row>
    <row r="32">
      <c r="A32" s="1" t="inlineStr">
        <is>
          <t>Einnahmen</t>
        </is>
      </c>
      <c r="B32" s="3" t="inlineStr">
        <is>
          <t>E8</t>
        </is>
      </c>
      <c r="C32" t="inlineStr">
        <is>
          <t>0</t>
        </is>
      </c>
      <c r="D32" s="1" t="inlineStr">
        <is>
          <t>Private Rente pro Monat</t>
        </is>
      </c>
      <c r="E32" s="1">
        <f>I32&amp;IF(K32="","",";"&amp;K32)&amp;IF(M32="","",";"&amp;M32)&amp;IF(O32="","",";"&amp;O32)&amp;IF(Q32="","",";"&amp;Q32)&amp;IF(T32="","",";"&amp;T32)</f>
        <v/>
      </c>
      <c r="F32" s="5">
        <f>IF(I32="",0,1)+IF(K32="",0,1)+IF(M32="",0,1)+IF(O32="",0,1)+IF(Q32="",0,1)+IF(S32="",0,1)</f>
        <v/>
      </c>
      <c r="G32" s="1" t="inlineStr">
        <is>
          <t>Eingabefeld</t>
        </is>
      </c>
      <c r="H32" s="1" t="inlineStr">
        <is>
          <t>EUR</t>
        </is>
      </c>
      <c r="J32" s="1" t="inlineStr">
        <is>
          <t>E9</t>
        </is>
      </c>
    </row>
    <row r="33">
      <c r="A33" s="1" t="inlineStr">
        <is>
          <t>Einnahmen</t>
        </is>
      </c>
      <c r="B33" s="3" t="inlineStr">
        <is>
          <t>E9</t>
        </is>
      </c>
      <c r="C33" t="inlineStr">
        <is>
          <t>0</t>
        </is>
      </c>
      <c r="D33" s="1" t="inlineStr">
        <is>
          <t>Sonstige Einkünfte pro Monat</t>
        </is>
      </c>
      <c r="E33" s="1">
        <f>I33&amp;IF(K33="","",";"&amp;K33)&amp;IF(M33="","",";"&amp;M33)&amp;IF(O33="","",";"&amp;O33)&amp;IF(Q33="","",";"&amp;Q33)&amp;IF(T33="","",";"&amp;T33)</f>
        <v/>
      </c>
      <c r="F33" s="5">
        <f>IF(I33="",0,1)+IF(K33="",0,1)+IF(M33="",0,1)+IF(O33="",0,1)+IF(Q33="",0,1)+IF(S33="",0,1)</f>
        <v/>
      </c>
      <c r="G33" s="1" t="inlineStr">
        <is>
          <t>Eingabefeld</t>
        </is>
      </c>
      <c r="H33" s="1" t="inlineStr">
        <is>
          <t>EUR</t>
        </is>
      </c>
      <c r="J33" s="1" t="inlineStr">
        <is>
          <t>E10</t>
        </is>
      </c>
    </row>
    <row r="34">
      <c r="A34" s="1" t="inlineStr">
        <is>
          <t>Einnahmen</t>
        </is>
      </c>
      <c r="B34" s="3" t="inlineStr">
        <is>
          <t>E10</t>
        </is>
      </c>
      <c r="C34" t="inlineStr">
        <is>
          <t>ja</t>
        </is>
      </c>
      <c r="D34" s="3" t="inlineStr">
        <is>
          <t>Beziehen Sie Bürgergeld?</t>
        </is>
      </c>
      <c r="E34" s="1">
        <f>I34&amp;IF(K34="","",";"&amp;K34)&amp;IF(M34="","",";"&amp;M34)&amp;IF(O34="","",";"&amp;O34)&amp;IF(Q34="","",";"&amp;Q34)&amp;IF(T34="","",";"&amp;T34)</f>
        <v/>
      </c>
      <c r="F34" s="5">
        <f>IF(I34="",0,1)+IF(K34="",0,1)+IF(M34="",0,1)+IF(O34="",0,1)+IF(Q34="",0,1)+IF(S34="",0,1)</f>
        <v/>
      </c>
      <c r="G34" s="1" t="inlineStr">
        <is>
          <t>Button</t>
        </is>
      </c>
      <c r="H34" s="1" t="inlineStr">
        <is>
          <t>one Choice</t>
        </is>
      </c>
      <c r="I34" s="1" t="inlineStr">
        <is>
          <t>ja</t>
        </is>
      </c>
      <c r="J34" s="1" t="inlineStr">
        <is>
          <t>E11</t>
        </is>
      </c>
      <c r="K34" s="1" t="inlineStr">
        <is>
          <t>ja</t>
        </is>
      </c>
    </row>
    <row r="35">
      <c r="A35" s="1" t="inlineStr">
        <is>
          <t>Einnahmen</t>
        </is>
      </c>
      <c r="B35" s="3" t="inlineStr">
        <is>
          <t>E11</t>
        </is>
      </c>
      <c r="C35" t="inlineStr">
        <is>
          <t>ja</t>
        </is>
      </c>
      <c r="D35" s="3" t="inlineStr">
        <is>
          <t>Beziehen Sie Grundsicherung?</t>
        </is>
      </c>
      <c r="E35" s="1">
        <f>I35&amp;IF(K35="","",";"&amp;K35)&amp;IF(M35="","",";"&amp;M35)&amp;IF(O35="","",";"&amp;O35)&amp;IF(Q35="","",";"&amp;Q35)&amp;IF(T35="","",";"&amp;T35)</f>
        <v/>
      </c>
      <c r="F35" s="5">
        <f>IF(I35="",0,1)+IF(K35="",0,1)+IF(M35="",0,1)+IF(O35="",0,1)+IF(Q35="",0,1)+IF(S35="",0,1)</f>
        <v/>
      </c>
      <c r="G35" s="1" t="inlineStr">
        <is>
          <t>Button</t>
        </is>
      </c>
      <c r="H35" s="1" t="inlineStr">
        <is>
          <t>one Choice</t>
        </is>
      </c>
      <c r="I35" s="1" t="inlineStr">
        <is>
          <t>ja</t>
        </is>
      </c>
      <c r="J35" s="1" t="inlineStr">
        <is>
          <t>Ende</t>
        </is>
      </c>
      <c r="K35" s="1" t="inlineStr">
        <is>
          <t>nein</t>
        </is>
      </c>
      <c r="L35" s="1" t="inlineStr">
        <is>
          <t>Ende</t>
        </is>
      </c>
    </row>
    <row r="36" ht="43.2" customHeight="1">
      <c r="A36" s="1" t="inlineStr">
        <is>
          <t>ungeklärter Status</t>
        </is>
      </c>
      <c r="B36" s="3" t="inlineStr">
        <is>
          <t>U1</t>
        </is>
      </c>
      <c r="D36" s="4" t="inlineStr">
        <is>
          <t>Letzte Krankenversicherung nach dem 01.04.2007 im Geltungsbereich Deutschland (inkl. Entsendungen) in der GKV</t>
        </is>
      </c>
      <c r="E36" s="1">
        <f>I36&amp;IF(K36="","",";"&amp;K36)&amp;IF(M36="","",";"&amp;M36)&amp;IF(O36="","",";"&amp;O36)&amp;IF(Q36="","",";"&amp;Q36)&amp;IF(T36="","",";"&amp;T36)</f>
        <v/>
      </c>
      <c r="F36" s="5">
        <f>IF(I36="",0,1)+IF(K36="",0,1)+IF(M36="",0,1)+IF(O36="",0,1)+IF(Q36="",0,1)+IF(S36="",0,1)</f>
        <v/>
      </c>
      <c r="G36" s="1" t="inlineStr">
        <is>
          <t>Button</t>
        </is>
      </c>
      <c r="H36" s="1" t="inlineStr">
        <is>
          <t>one Choice</t>
        </is>
      </c>
      <c r="I36" s="1" t="inlineStr">
        <is>
          <t>ja</t>
        </is>
      </c>
      <c r="J36" s="3" t="inlineStr">
        <is>
          <t>V200</t>
        </is>
      </c>
      <c r="K36" s="1" t="inlineStr">
        <is>
          <t>nein</t>
        </is>
      </c>
      <c r="L36" s="1" t="inlineStr">
        <is>
          <t>U2</t>
        </is>
      </c>
    </row>
    <row r="37" ht="43.2" customHeight="1">
      <c r="A37" s="1" t="inlineStr">
        <is>
          <t>ungeklärter Status</t>
        </is>
      </c>
      <c r="B37" s="3" t="inlineStr">
        <is>
          <t>U2</t>
        </is>
      </c>
      <c r="D37" s="4" t="inlineStr">
        <is>
          <t>Letzte Krankenversicherung nach dem 01.04.2007 im Geltungsbereich Deutschland (inkl. Entsendungen) in der PKV</t>
        </is>
      </c>
      <c r="E37" s="1">
        <f>I37&amp;IF(K37="","",";"&amp;K37)&amp;IF(M37="","",";"&amp;M37)&amp;IF(O37="","",";"&amp;O37)&amp;IF(Q37="","",";"&amp;Q37)&amp;IF(T37="","",";"&amp;T37)</f>
        <v/>
      </c>
      <c r="F37" s="5">
        <f>IF(I37="",0,1)+IF(K37="",0,1)+IF(M37="",0,1)+IF(O37="",0,1)+IF(Q37="",0,1)+IF(S37="",0,1)</f>
        <v/>
      </c>
      <c r="G37" s="1" t="inlineStr">
        <is>
          <t>Button</t>
        </is>
      </c>
      <c r="H37" s="1" t="inlineStr">
        <is>
          <t>one Choice</t>
        </is>
      </c>
      <c r="I37" s="1" t="inlineStr">
        <is>
          <t>ja</t>
        </is>
      </c>
      <c r="J37" s="3" t="inlineStr">
        <is>
          <t>V200</t>
        </is>
      </c>
      <c r="K37" s="1" t="inlineStr">
        <is>
          <t>nein</t>
        </is>
      </c>
      <c r="L37" s="1" t="inlineStr">
        <is>
          <t>U3</t>
        </is>
      </c>
    </row>
    <row r="38" ht="43.2" customHeight="1">
      <c r="A38" s="1" t="inlineStr">
        <is>
          <t>ungeklärter Status</t>
        </is>
      </c>
      <c r="B38" s="3" t="inlineStr">
        <is>
          <t>U3</t>
        </is>
      </c>
      <c r="D38" s="4" t="inlineStr">
        <is>
          <t>Letzte Krankenversicherung nach dem 01.04.2007 in der EU//EWR/Schweiz/GB/Mazedonien/Türkei oder Tunesien in einer staatlichen KV</t>
        </is>
      </c>
      <c r="E38" s="1">
        <f>I38&amp;IF(K38="","",";"&amp;K38)&amp;IF(M38="","",";"&amp;M38)&amp;IF(O38="","",";"&amp;O38)&amp;IF(Q38="","",";"&amp;Q38)&amp;IF(T38="","",";"&amp;T38)</f>
        <v/>
      </c>
      <c r="F38" s="5">
        <f>IF(I38="",0,1)+IF(K38="",0,1)+IF(M38="",0,1)+IF(O38="",0,1)+IF(Q38="",0,1)+IF(S38="",0,1)</f>
        <v/>
      </c>
      <c r="G38" s="1" t="inlineStr">
        <is>
          <t>Button</t>
        </is>
      </c>
      <c r="H38" s="1" t="inlineStr">
        <is>
          <t>one Choice</t>
        </is>
      </c>
      <c r="I38" s="1" t="inlineStr">
        <is>
          <t>ja</t>
        </is>
      </c>
      <c r="J38" s="3" t="inlineStr">
        <is>
          <t>V200</t>
        </is>
      </c>
      <c r="K38" s="1" t="inlineStr">
        <is>
          <t>nein</t>
        </is>
      </c>
      <c r="L38" s="1" t="inlineStr">
        <is>
          <t>U4</t>
        </is>
      </c>
    </row>
    <row r="39" ht="43.2" customHeight="1">
      <c r="A39" s="1" t="inlineStr">
        <is>
          <t>ungeklärter Status</t>
        </is>
      </c>
      <c r="B39" s="3" t="inlineStr">
        <is>
          <t>U4</t>
        </is>
      </c>
      <c r="D39" s="4" t="inlineStr">
        <is>
          <t>Letzte Krankenversicherung nach dem 01.04.2007 in der EU//EWR/Schweiz/GB/Mazedonien/Türkei oder Tunesien in einer privaten KV</t>
        </is>
      </c>
      <c r="E39" s="1">
        <f>I39&amp;IF(K39="","",";"&amp;K39)&amp;IF(M39="","",";"&amp;M39)&amp;IF(O39="","",";"&amp;O39)&amp;IF(Q39="","",";"&amp;Q39)&amp;IF(T39="","",";"&amp;T39)</f>
        <v/>
      </c>
      <c r="F39" s="5">
        <f>IF(I39="",0,1)+IF(K39="",0,1)+IF(M39="",0,1)+IF(O39="",0,1)+IF(Q39="",0,1)+IF(S39="",0,1)</f>
        <v/>
      </c>
      <c r="G39" s="1" t="inlineStr">
        <is>
          <t>Button</t>
        </is>
      </c>
      <c r="H39" s="1" t="inlineStr">
        <is>
          <t>one Choice</t>
        </is>
      </c>
      <c r="I39" s="1" t="inlineStr">
        <is>
          <t>ja</t>
        </is>
      </c>
      <c r="J39" s="3" t="inlineStr">
        <is>
          <t>V200</t>
        </is>
      </c>
      <c r="K39" s="1" t="inlineStr">
        <is>
          <t>nein</t>
        </is>
      </c>
      <c r="L39" s="1" t="inlineStr">
        <is>
          <t>U5</t>
        </is>
      </c>
    </row>
    <row r="40" ht="57.6" customHeight="1">
      <c r="A40" s="1" t="inlineStr">
        <is>
          <t>ungeklärter Status</t>
        </is>
      </c>
      <c r="B40" s="3" t="inlineStr">
        <is>
          <t>U5</t>
        </is>
      </c>
      <c r="D40" s="4" t="inlineStr">
        <is>
          <t>Am 1.4.2007 in Deutschland gelebt seit dem in BRD ohne GKV oder PKV-Vorversicherung und an diesem Tag in Deutschland versicherungsfrei im Sinne SGB V § 6 (1+2) gewesen</t>
        </is>
      </c>
      <c r="E40" s="1">
        <f>I40&amp;IF(K40="","",";"&amp;K40)&amp;IF(M40="","",";"&amp;M40)&amp;IF(O40="","",";"&amp;O40)&amp;IF(Q40="","",";"&amp;Q40)&amp;IF(T40="","",";"&amp;T40)</f>
        <v/>
      </c>
      <c r="F40" s="5">
        <f>IF(I40="",0,1)+IF(K40="",0,1)+IF(M40="",0,1)+IF(O40="",0,1)+IF(Q40="",0,1)+IF(S40="",0,1)</f>
        <v/>
      </c>
      <c r="G40" s="1" t="inlineStr">
        <is>
          <t>Button</t>
        </is>
      </c>
      <c r="H40" s="1" t="inlineStr">
        <is>
          <t>one Choice</t>
        </is>
      </c>
      <c r="I40" s="1" t="inlineStr">
        <is>
          <t>ja</t>
        </is>
      </c>
      <c r="J40" s="3" t="inlineStr">
        <is>
          <t>V200</t>
        </is>
      </c>
      <c r="K40" s="1" t="inlineStr">
        <is>
          <t>nein</t>
        </is>
      </c>
      <c r="L40" s="1" t="inlineStr">
        <is>
          <t>U6</t>
        </is>
      </c>
    </row>
    <row r="41" ht="57.6" customHeight="1">
      <c r="A41" s="1" t="inlineStr">
        <is>
          <t>ungeklärter Status</t>
        </is>
      </c>
      <c r="B41" s="3" t="inlineStr">
        <is>
          <t>U6</t>
        </is>
      </c>
      <c r="D41" s="4" t="inlineStr">
        <is>
          <t>Am 1.4.2007 in Deutschland gelebt seit dem in BRD ohne GKV oder PKV-Vorversicherung und an diesem Tag in Deutschland nicht versicherungsfrei im Sinne SGB V § 6 (1+2) gewesen</t>
        </is>
      </c>
      <c r="E41" s="1">
        <f>I41&amp;IF(K41="","",";"&amp;K41)&amp;IF(M41="","",";"&amp;M41)&amp;IF(O41="","",";"&amp;O41)&amp;IF(Q41="","",";"&amp;Q41)&amp;IF(T41="","",";"&amp;T41)</f>
        <v/>
      </c>
      <c r="F41" s="5">
        <f>IF(I41="",0,1)+IF(K41="",0,1)+IF(M41="",0,1)+IF(O41="",0,1)+IF(Q41="",0,1)+IF(S41="",0,1)</f>
        <v/>
      </c>
      <c r="G41" s="1" t="inlineStr">
        <is>
          <t>Button</t>
        </is>
      </c>
      <c r="H41" s="1" t="inlineStr">
        <is>
          <t>one Choice</t>
        </is>
      </c>
      <c r="I41" s="1" t="inlineStr">
        <is>
          <t>ja</t>
        </is>
      </c>
      <c r="J41" s="3" t="inlineStr">
        <is>
          <t>V200</t>
        </is>
      </c>
      <c r="K41" s="1" t="inlineStr">
        <is>
          <t>nein</t>
        </is>
      </c>
      <c r="L41" s="1" t="inlineStr">
        <is>
          <t>U7</t>
        </is>
      </c>
    </row>
    <row r="42" ht="57.6" customHeight="1">
      <c r="A42" s="1" t="inlineStr">
        <is>
          <t>ungeklärter Status</t>
        </is>
      </c>
      <c r="B42" s="3" t="inlineStr">
        <is>
          <t>U7</t>
        </is>
      </c>
      <c r="D42" s="4" t="inlineStr">
        <is>
          <t>Rückkehrer nach Deutschland aus der EU//EWR/Schweiz/GB/Mazedonien/Türkei oder Tunesien und dortige letzte Krankenversicherung ist eine staatliche KV</t>
        </is>
      </c>
      <c r="E42" s="1">
        <f>I42&amp;IF(K42="","",";"&amp;K42)&amp;IF(M42="","",";"&amp;M42)&amp;IF(O42="","",";"&amp;O42)&amp;IF(Q42="","",";"&amp;Q42)&amp;IF(T42="","",";"&amp;T42)</f>
        <v/>
      </c>
      <c r="F42" s="5">
        <f>IF(I42="",0,1)+IF(K42="",0,1)+IF(M42="",0,1)+IF(O42="",0,1)+IF(Q42="",0,1)+IF(S42="",0,1)</f>
        <v/>
      </c>
      <c r="G42" s="1" t="inlineStr">
        <is>
          <t>Button</t>
        </is>
      </c>
      <c r="H42" s="1" t="inlineStr">
        <is>
          <t>one Choice</t>
        </is>
      </c>
      <c r="I42" s="1" t="inlineStr">
        <is>
          <t>ja</t>
        </is>
      </c>
      <c r="J42" s="3" t="inlineStr">
        <is>
          <t>V200</t>
        </is>
      </c>
      <c r="K42" s="1" t="inlineStr">
        <is>
          <t>nein</t>
        </is>
      </c>
      <c r="L42" s="1" t="inlineStr">
        <is>
          <t>U8</t>
        </is>
      </c>
    </row>
    <row r="43" ht="57.6" customHeight="1">
      <c r="A43" s="1" t="inlineStr">
        <is>
          <t>ungeklärter Status</t>
        </is>
      </c>
      <c r="B43" s="3" t="inlineStr">
        <is>
          <t>U8</t>
        </is>
      </c>
      <c r="D43" s="4" t="inlineStr">
        <is>
          <t>Rückkehrer nach Deutschland aus der EU//EWR/Schweiz/GB/Mazedonien/Türkei oder Tunesien und dortige letzte Krankenversicherung ist eine private KV</t>
        </is>
      </c>
      <c r="E43" s="1">
        <f>I43&amp;IF(K43="","",";"&amp;K43)&amp;IF(M43="","",";"&amp;M43)&amp;IF(O43="","",";"&amp;O43)&amp;IF(Q43="","",";"&amp;Q43)&amp;IF(T43="","",";"&amp;T43)</f>
        <v/>
      </c>
      <c r="F43" s="5">
        <f>IF(I43="",0,1)+IF(K43="",0,1)+IF(M43="",0,1)+IF(O43="",0,1)+IF(Q43="",0,1)+IF(S43="",0,1)</f>
        <v/>
      </c>
      <c r="G43" s="1" t="inlineStr">
        <is>
          <t>Button</t>
        </is>
      </c>
      <c r="H43" s="1" t="inlineStr">
        <is>
          <t>one Choice</t>
        </is>
      </c>
      <c r="I43" s="1" t="inlineStr">
        <is>
          <t>ja</t>
        </is>
      </c>
      <c r="J43" s="3" t="inlineStr">
        <is>
          <t>V200</t>
        </is>
      </c>
      <c r="K43" s="1" t="inlineStr">
        <is>
          <t>nein</t>
        </is>
      </c>
      <c r="L43" s="1" t="inlineStr">
        <is>
          <t>U9</t>
        </is>
      </c>
    </row>
    <row r="44" ht="57.6" customHeight="1">
      <c r="A44" s="1" t="inlineStr">
        <is>
          <t>ungeklärter Status</t>
        </is>
      </c>
      <c r="B44" s="3" t="inlineStr">
        <is>
          <t>U9</t>
        </is>
      </c>
      <c r="D44" s="4" t="inlineStr">
        <is>
          <t>Rückkehrer nach Deutschland aus der EU//EWR/Schweiz/GB/Mazedonien/Türkei oder Tunesien und dortige letzte Krankenversicherung keine, da unversichert</t>
        </is>
      </c>
      <c r="E44" s="1">
        <f>I44&amp;IF(K44="","",";"&amp;K44)&amp;IF(M44="","",";"&amp;M44)&amp;IF(O44="","",";"&amp;O44)&amp;IF(Q44="","",";"&amp;Q44)&amp;IF(T44="","",";"&amp;T44)</f>
        <v/>
      </c>
      <c r="F44" s="5">
        <f>IF(I44="",0,1)+IF(K44="",0,1)+IF(M44="",0,1)+IF(O44="",0,1)+IF(Q44="",0,1)+IF(S44="",0,1)</f>
        <v/>
      </c>
      <c r="G44" s="1" t="inlineStr">
        <is>
          <t>Button</t>
        </is>
      </c>
      <c r="H44" s="1" t="inlineStr">
        <is>
          <t>one Choice</t>
        </is>
      </c>
      <c r="I44" s="1" t="inlineStr">
        <is>
          <t>ja</t>
        </is>
      </c>
      <c r="J44" s="3" t="inlineStr">
        <is>
          <t>V200</t>
        </is>
      </c>
      <c r="K44" s="1" t="inlineStr">
        <is>
          <t>nein</t>
        </is>
      </c>
      <c r="L44" s="1" t="inlineStr">
        <is>
          <t>U10</t>
        </is>
      </c>
    </row>
    <row r="45" ht="57.6" customHeight="1">
      <c r="A45" s="1" t="inlineStr">
        <is>
          <t>ungeklärter Status</t>
        </is>
      </c>
      <c r="B45" s="3" t="inlineStr">
        <is>
          <t>U10</t>
        </is>
      </c>
      <c r="D45" s="4" t="inlineStr">
        <is>
          <t>Rückkehrer nach Deutschland außerhalb der EU//EWR/Schweiz/GB/Mazedonien/Türkei oder Tunesien letzte Krankenversicherung in Deutschland/EU/EWR/CH ist eine staatliche KV</t>
        </is>
      </c>
      <c r="E45" s="1">
        <f>I45&amp;IF(K45="","",";"&amp;K45)&amp;IF(M45="","",";"&amp;M45)&amp;IF(O45="","",";"&amp;O45)&amp;IF(Q45="","",";"&amp;Q45)&amp;IF(T45="","",";"&amp;T45)</f>
        <v/>
      </c>
      <c r="F45" s="5">
        <f>IF(I45="",0,1)+IF(K45="",0,1)+IF(M45="",0,1)+IF(O45="",0,1)+IF(Q45="",0,1)+IF(S45="",0,1)</f>
        <v/>
      </c>
      <c r="G45" s="1" t="inlineStr">
        <is>
          <t>Button</t>
        </is>
      </c>
      <c r="H45" s="1" t="inlineStr">
        <is>
          <t>one Choice</t>
        </is>
      </c>
      <c r="I45" s="1" t="inlineStr">
        <is>
          <t>ja</t>
        </is>
      </c>
      <c r="J45" s="3" t="inlineStr">
        <is>
          <t>V200</t>
        </is>
      </c>
      <c r="K45" s="1" t="inlineStr">
        <is>
          <t>nein</t>
        </is>
      </c>
      <c r="L45" s="1" t="inlineStr">
        <is>
          <t>U11</t>
        </is>
      </c>
    </row>
    <row r="46" ht="57.6" customHeight="1">
      <c r="A46" s="1" t="inlineStr">
        <is>
          <t>ungeklärter Status</t>
        </is>
      </c>
      <c r="B46" s="3" t="inlineStr">
        <is>
          <t>U11</t>
        </is>
      </c>
      <c r="D46" s="4" t="inlineStr">
        <is>
          <t>Rückkehrer nach Deutschland außerhalb der EU//EWR/Schweiz/GB/Mazedonien/Türkei oder Tunesien letzte Krankenversicherung in Deutschland/EU/EWR/CH ist eine private KV</t>
        </is>
      </c>
      <c r="E46" s="1">
        <f>I46&amp;IF(K46="","",";"&amp;K46)&amp;IF(M46="","",";"&amp;M46)&amp;IF(O46="","",";"&amp;O46)&amp;IF(Q46="","",";"&amp;Q46)&amp;IF(T46="","",";"&amp;T46)</f>
        <v/>
      </c>
      <c r="F46" s="5">
        <f>IF(I46="",0,1)+IF(K46="",0,1)+IF(M46="",0,1)+IF(O46="",0,1)+IF(Q46="",0,1)+IF(S46="",0,1)</f>
        <v/>
      </c>
      <c r="G46" s="1" t="inlineStr">
        <is>
          <t>Button</t>
        </is>
      </c>
      <c r="H46" s="1" t="inlineStr">
        <is>
          <t>one Choice</t>
        </is>
      </c>
      <c r="I46" s="1" t="inlineStr">
        <is>
          <t>ja</t>
        </is>
      </c>
      <c r="J46" s="3" t="inlineStr">
        <is>
          <t>V200</t>
        </is>
      </c>
      <c r="K46" s="1" t="inlineStr">
        <is>
          <t>nein</t>
        </is>
      </c>
      <c r="L46" s="1" t="inlineStr">
        <is>
          <t>U12</t>
        </is>
      </c>
    </row>
    <row r="47" ht="57.6" customHeight="1">
      <c r="A47" s="1" t="inlineStr">
        <is>
          <t>ungeklärter Status</t>
        </is>
      </c>
      <c r="B47" s="3" t="inlineStr">
        <is>
          <t>U12</t>
        </is>
      </c>
      <c r="D47" s="4" t="inlineStr">
        <is>
          <t>Rückkehrer nach Deutschland außerhalb der EU//EWR/Schweiz/GB/Mazedonien/Türkei oder Tunesien letzte Krankenversicherung in Deutschland/EU/EWR/CH ist keine, da unversichert</t>
        </is>
      </c>
      <c r="E47" s="1">
        <f>I47&amp;IF(K47="","",";"&amp;K47)&amp;IF(M47="","",";"&amp;M47)&amp;IF(O47="","",";"&amp;O47)&amp;IF(Q47="","",";"&amp;Q47)&amp;IF(T47="","",";"&amp;T47)</f>
        <v/>
      </c>
      <c r="F47" s="5">
        <f>IF(I47="",0,1)+IF(K47="",0,1)+IF(M47="",0,1)+IF(O47="",0,1)+IF(Q47="",0,1)+IF(S47="",0,1)</f>
        <v/>
      </c>
      <c r="G47" s="1" t="inlineStr">
        <is>
          <t>Button</t>
        </is>
      </c>
      <c r="H47" s="1" t="inlineStr">
        <is>
          <t>one Choice</t>
        </is>
      </c>
      <c r="I47" s="1" t="inlineStr">
        <is>
          <t>ja</t>
        </is>
      </c>
      <c r="J47" s="3" t="inlineStr">
        <is>
          <t>V200</t>
        </is>
      </c>
      <c r="K47" s="1" t="inlineStr">
        <is>
          <t>nein</t>
        </is>
      </c>
      <c r="L47" s="1" t="inlineStr">
        <is>
          <t>U13</t>
        </is>
      </c>
    </row>
    <row r="48" ht="100.8" customHeight="1">
      <c r="A48" s="1" t="inlineStr">
        <is>
          <t>ungeklärter Status</t>
        </is>
      </c>
      <c r="B48" s="3" t="inlineStr">
        <is>
          <t>U13</t>
        </is>
      </c>
      <c r="D48" s="4" t="inlineStr">
        <is>
          <t>Ausländer, die nicht Angehörige der EU/EWR/CH/GB sind und nach Deutschland ziehen und sie eine Niederlassungserlaubnis oder  Aufenthaltserlaubnis mit einer Befristung bis zwölf Monate besitzen und für die Erteilung dieser Aufenthaltstitel keine Verpflichtung zur Sicherung des Lebensunterhalts besteht</t>
        </is>
      </c>
      <c r="E48" s="1">
        <f>I48&amp;IF(K48="","",";"&amp;K48)&amp;IF(M48="","",";"&amp;M48)&amp;IF(O48="","",";"&amp;O48)&amp;IF(Q48="","",";"&amp;Q48)&amp;IF(T48="","",";"&amp;T48)</f>
        <v/>
      </c>
      <c r="F48" s="5">
        <f>IF(I48="",0,1)+IF(K48="",0,1)+IF(M48="",0,1)+IF(O48="",0,1)+IF(Q48="",0,1)+IF(S48="",0,1)</f>
        <v/>
      </c>
      <c r="G48" s="1" t="inlineStr">
        <is>
          <t>Button</t>
        </is>
      </c>
      <c r="H48" s="1" t="inlineStr">
        <is>
          <t>one Choice</t>
        </is>
      </c>
      <c r="I48" s="1" t="inlineStr">
        <is>
          <t>ja</t>
        </is>
      </c>
      <c r="J48" s="3" t="inlineStr">
        <is>
          <t>V200</t>
        </is>
      </c>
      <c r="K48" s="1" t="inlineStr">
        <is>
          <t>nein</t>
        </is>
      </c>
      <c r="L48" s="1" t="inlineStr">
        <is>
          <t>U14</t>
        </is>
      </c>
    </row>
    <row r="49" ht="43.2" customHeight="1">
      <c r="A49" s="1" t="inlineStr">
        <is>
          <t>ungeklärter Status</t>
        </is>
      </c>
      <c r="B49" s="3" t="inlineStr">
        <is>
          <t>U14</t>
        </is>
      </c>
      <c r="D49" s="4" t="inlineStr">
        <is>
          <t>Erstmalig nach Deutschland gezogen  und letzte Tätigkeit im Ausland versicherungsfrei im Sinne SGB V § 6 (1+2) gewesen</t>
        </is>
      </c>
      <c r="E49" s="1">
        <f>I49&amp;IF(K49="","",";"&amp;K49)&amp;IF(M49="","",";"&amp;M49)&amp;IF(O49="","",";"&amp;O49)&amp;IF(Q49="","",";"&amp;Q49)&amp;IF(T49="","",";"&amp;T49)</f>
        <v/>
      </c>
      <c r="F49" s="5">
        <f>IF(I49="",0,1)+IF(K49="",0,1)+IF(M49="",0,1)+IF(O49="",0,1)+IF(Q49="",0,1)+IF(S49="",0,1)</f>
        <v/>
      </c>
      <c r="G49" s="1" t="inlineStr">
        <is>
          <t>Button</t>
        </is>
      </c>
      <c r="H49" s="1" t="inlineStr">
        <is>
          <t>one Choice</t>
        </is>
      </c>
      <c r="I49" s="1" t="inlineStr">
        <is>
          <t>ja</t>
        </is>
      </c>
      <c r="J49" s="3" t="inlineStr">
        <is>
          <t>V200</t>
        </is>
      </c>
      <c r="K49" s="1" t="inlineStr">
        <is>
          <t>nein</t>
        </is>
      </c>
      <c r="L49" s="1" t="inlineStr">
        <is>
          <t>U15</t>
        </is>
      </c>
    </row>
    <row r="50" ht="43.2" customHeight="1">
      <c r="A50" s="1" t="inlineStr">
        <is>
          <t>ungeklärter Status</t>
        </is>
      </c>
      <c r="B50" s="3" t="inlineStr">
        <is>
          <t>U15</t>
        </is>
      </c>
      <c r="D50" s="4" t="inlineStr">
        <is>
          <t>Erstmalig nach Deutschland gezogen  und letzte Tätigkeit im Ausland nicht versicherungsfrei im Sinne SGB V § 6 (1+2) gewesen</t>
        </is>
      </c>
      <c r="E50" s="1">
        <f>I50&amp;IF(K50="","",";"&amp;K50)&amp;IF(M50="","",";"&amp;M50)&amp;IF(O50="","",";"&amp;O50)&amp;IF(Q50="","",";"&amp;Q50)&amp;IF(T50="","",";"&amp;T50)</f>
        <v/>
      </c>
      <c r="F50" s="5">
        <f>IF(I50="",0,1)+IF(K50="",0,1)+IF(M50="",0,1)+IF(O50="",0,1)+IF(Q50="",0,1)+IF(S50="",0,1)</f>
        <v/>
      </c>
      <c r="G50" s="1" t="inlineStr">
        <is>
          <t>Button</t>
        </is>
      </c>
      <c r="H50" s="1" t="inlineStr">
        <is>
          <t>one Choice</t>
        </is>
      </c>
      <c r="I50" s="1" t="inlineStr">
        <is>
          <t>ja</t>
        </is>
      </c>
      <c r="J50" s="3" t="inlineStr">
        <is>
          <t>V200</t>
        </is>
      </c>
      <c r="K50" s="1" t="inlineStr">
        <is>
          <t>nein</t>
        </is>
      </c>
      <c r="L50" s="1" t="inlineStr">
        <is>
          <t>V200</t>
        </is>
      </c>
    </row>
    <row r="51">
      <c r="D51" s="3" t="n"/>
    </row>
    <row r="52">
      <c r="D52" s="3" t="n"/>
    </row>
  </sheetData>
  <mergeCells count="1">
    <mergeCell ref="C2:C3"/>
  </mergeCells>
  <conditionalFormatting sqref="J9">
    <cfRule type="cellIs" priority="1" operator="equal" dxfId="0">
      <formula>"ende"</formula>
    </cfRule>
  </conditionalFormatting>
  <pageMargins left="0.7" right="0.7" top="0.787401575" bottom="0.7874015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F22"/>
  <sheetViews>
    <sheetView workbookViewId="0">
      <selection activeCell="C22" sqref="C22"/>
    </sheetView>
  </sheetViews>
  <sheetFormatPr baseColWidth="10" defaultRowHeight="14.4"/>
  <cols>
    <col width="100.44140625" bestFit="1" customWidth="1" min="1" max="1"/>
    <col width="9.77734375" bestFit="1" customWidth="1" min="2" max="2"/>
    <col width="11.33203125" bestFit="1" customWidth="1" min="3" max="3"/>
    <col width="11.33203125" customWidth="1" min="4" max="4"/>
    <col width="16.44140625" bestFit="1" customWidth="1" min="6" max="6"/>
  </cols>
  <sheetData>
    <row r="1">
      <c r="A1" t="inlineStr">
        <is>
          <t>Einnahmen</t>
        </is>
      </c>
      <c r="B1" t="inlineStr">
        <is>
          <t>Ergebnisse</t>
        </is>
      </c>
      <c r="C1" t="inlineStr">
        <is>
          <t>Fami Normal</t>
        </is>
      </c>
      <c r="D1" t="inlineStr">
        <is>
          <t>Fami mit Mini Job</t>
        </is>
      </c>
      <c r="E1" t="inlineStr">
        <is>
          <t>Best Case</t>
        </is>
      </c>
      <c r="F1" t="inlineStr">
        <is>
          <t>Teilrente Best Case</t>
        </is>
      </c>
    </row>
    <row r="2">
      <c r="A2">
        <f>Tabelle1!D23</f>
        <v/>
      </c>
      <c r="B2">
        <f>Tabelle1!C23</f>
        <v/>
      </c>
      <c r="C2">
        <f>B2</f>
        <v/>
      </c>
      <c r="D2">
        <f>C2</f>
        <v/>
      </c>
      <c r="E2" t="n">
        <v>0</v>
      </c>
      <c r="F2">
        <f>C2</f>
        <v/>
      </c>
    </row>
    <row r="3">
      <c r="A3">
        <f>Tabelle1!D24</f>
        <v/>
      </c>
      <c r="B3">
        <f>Tabelle1!C24</f>
        <v/>
      </c>
      <c r="C3">
        <f>B3</f>
        <v/>
      </c>
      <c r="D3">
        <f>C3</f>
        <v/>
      </c>
      <c r="E3" t="n">
        <v>0</v>
      </c>
      <c r="F3">
        <f>C3</f>
        <v/>
      </c>
    </row>
    <row r="4">
      <c r="A4">
        <f>Tabelle1!D25</f>
        <v/>
      </c>
      <c r="B4">
        <f>Tabelle1!C25</f>
        <v/>
      </c>
      <c r="C4">
        <f>B4</f>
        <v/>
      </c>
      <c r="D4">
        <f>C4</f>
        <v/>
      </c>
      <c r="E4">
        <f>MIN(C4,0)</f>
        <v/>
      </c>
      <c r="F4">
        <f>C4</f>
        <v/>
      </c>
    </row>
    <row r="5">
      <c r="A5">
        <f>Tabelle1!D26</f>
        <v/>
      </c>
      <c r="B5">
        <f>Tabelle1!C26</f>
        <v/>
      </c>
      <c r="C5">
        <f>B5</f>
        <v/>
      </c>
      <c r="D5">
        <f>C5</f>
        <v/>
      </c>
      <c r="E5">
        <f>MIN(C5,0)</f>
        <v/>
      </c>
      <c r="F5">
        <f>C5</f>
        <v/>
      </c>
    </row>
    <row r="6">
      <c r="A6">
        <f>Tabelle1!D27</f>
        <v/>
      </c>
      <c r="B6">
        <f>Tabelle1!C27</f>
        <v/>
      </c>
      <c r="C6">
        <f>B6</f>
        <v/>
      </c>
      <c r="D6">
        <f>C6</f>
        <v/>
      </c>
      <c r="E6">
        <f>MAX(C6,0)</f>
        <v/>
      </c>
      <c r="F6">
        <f>C6</f>
        <v/>
      </c>
    </row>
    <row r="7">
      <c r="A7">
        <f>Tabelle1!D28</f>
        <v/>
      </c>
      <c r="B7">
        <f>Tabelle1!C28</f>
        <v/>
      </c>
      <c r="C7">
        <f>IF(B7&gt;0,B7+C15,0)</f>
        <v/>
      </c>
      <c r="D7">
        <f>C7</f>
        <v/>
      </c>
      <c r="E7">
        <f>MAX(C7,0)</f>
        <v/>
      </c>
      <c r="F7">
        <f>C7*0.1</f>
        <v/>
      </c>
    </row>
    <row r="8">
      <c r="A8">
        <f>Tabelle1!D29</f>
        <v/>
      </c>
      <c r="B8">
        <f>Tabelle1!C29</f>
        <v/>
      </c>
      <c r="C8">
        <f>B8</f>
        <v/>
      </c>
      <c r="D8">
        <f>C8</f>
        <v/>
      </c>
      <c r="E8">
        <f>MAX(C8,0)</f>
        <v/>
      </c>
      <c r="F8">
        <f>C8</f>
        <v/>
      </c>
    </row>
    <row r="9">
      <c r="A9">
        <f>Tabelle1!D30</f>
        <v/>
      </c>
      <c r="B9">
        <f>Tabelle1!C30</f>
        <v/>
      </c>
      <c r="C9">
        <f>B9</f>
        <v/>
      </c>
      <c r="D9">
        <f>C9</f>
        <v/>
      </c>
      <c r="E9">
        <f>MAX(C9,0)</f>
        <v/>
      </c>
      <c r="F9">
        <f>C9</f>
        <v/>
      </c>
    </row>
    <row r="10">
      <c r="A10">
        <f>Tabelle1!D31</f>
        <v/>
      </c>
      <c r="B10">
        <f>Tabelle1!C31</f>
        <v/>
      </c>
      <c r="C10">
        <f>B10</f>
        <v/>
      </c>
      <c r="D10">
        <f>C10</f>
        <v/>
      </c>
      <c r="E10">
        <f>MAX(C10,0)</f>
        <v/>
      </c>
      <c r="F10">
        <f>C10</f>
        <v/>
      </c>
    </row>
    <row r="11">
      <c r="A11">
        <f>Tabelle1!D32</f>
        <v/>
      </c>
      <c r="B11">
        <f>Tabelle1!C32</f>
        <v/>
      </c>
      <c r="C11">
        <f>B11</f>
        <v/>
      </c>
      <c r="D11">
        <f>C11</f>
        <v/>
      </c>
      <c r="E11">
        <f>MAX(C11,0)</f>
        <v/>
      </c>
      <c r="F11">
        <f>C11</f>
        <v/>
      </c>
    </row>
    <row r="12">
      <c r="A12">
        <f>Tabelle1!D33</f>
        <v/>
      </c>
      <c r="B12">
        <f>Tabelle1!C33</f>
        <v/>
      </c>
      <c r="C12">
        <f>B12</f>
        <v/>
      </c>
      <c r="D12">
        <f>C12</f>
        <v/>
      </c>
      <c r="E12">
        <f>MAX(C12,0)</f>
        <v/>
      </c>
      <c r="F12">
        <f>C12</f>
        <v/>
      </c>
    </row>
    <row r="14">
      <c r="C14">
        <f>SUM(C2:C15)</f>
        <v/>
      </c>
      <c r="D14">
        <f>SUM(D2:D13)</f>
        <v/>
      </c>
      <c r="E14">
        <f>C14</f>
        <v/>
      </c>
      <c r="F14">
        <f>C14</f>
        <v/>
      </c>
    </row>
    <row r="15">
      <c r="A15" t="inlineStr">
        <is>
          <t>Kindererziehung  Anzahl der Kinder</t>
        </is>
      </c>
      <c r="B15">
        <f>Tabelle1!C22</f>
        <v/>
      </c>
      <c r="C15">
        <f>B15*Tabelle3!B1*2.5*-1</f>
        <v/>
      </c>
      <c r="D15">
        <f>C15</f>
        <v/>
      </c>
      <c r="E15">
        <f>D15</f>
        <v/>
      </c>
      <c r="F15">
        <f>E15</f>
        <v/>
      </c>
    </row>
    <row r="16">
      <c r="A16">
        <f>Tabelle1!D7</f>
        <v/>
      </c>
      <c r="B16">
        <f>Tabelle1!C7</f>
        <v/>
      </c>
    </row>
    <row r="17">
      <c r="A17">
        <f>Tabelle1!D8</f>
        <v/>
      </c>
      <c r="B17">
        <f>Tabelle1!C8</f>
        <v/>
      </c>
    </row>
    <row r="18">
      <c r="A18">
        <f>Tabelle1!D34</f>
        <v/>
      </c>
      <c r="B18">
        <f>Tabelle1!C35</f>
        <v/>
      </c>
      <c r="C18">
        <f>B18</f>
        <v/>
      </c>
    </row>
    <row r="19">
      <c r="A19">
        <f>Tabelle1!D35</f>
        <v/>
      </c>
      <c r="B19">
        <f>Tabelle1!C34</f>
        <v/>
      </c>
      <c r="C19">
        <f>B19</f>
        <v/>
      </c>
    </row>
    <row r="21">
      <c r="A21" t="inlineStr">
        <is>
          <t>Fami möglich</t>
        </is>
      </c>
      <c r="C21">
        <f>IF(C14&lt;Tabelle3!$B5,"ja","nein")</f>
        <v/>
      </c>
      <c r="D21">
        <f>IF(D14&lt;Tabelle3!$B5,"ja","nein")</f>
        <v/>
      </c>
      <c r="E21">
        <f>IF(E14&lt;Tabelle3!$B5,"ja","nein")</f>
        <v/>
      </c>
      <c r="F21">
        <f>IF(F14&lt;Tabelle3!$B5,"ja","nein")</f>
        <v/>
      </c>
    </row>
    <row r="22">
      <c r="A22" t="inlineStr">
        <is>
          <t>Ergebnis</t>
        </is>
      </c>
      <c r="B22" s="7" t="n"/>
      <c r="C22">
        <f>IF(C21="ja",1,0)</f>
        <v/>
      </c>
    </row>
  </sheetData>
  <pageMargins left="0.7" right="0.7" top="0.787401575" bottom="0.787401575" header="0.3" footer="0.3"/>
  <pageSetup orientation="portrait" paperSize="9" horizontalDpi="0" verticalDpi="0"/>
</worksheet>
</file>

<file path=xl/worksheets/sheet3.xml><?xml version="1.0" encoding="utf-8"?>
<worksheet xmlns="http://schemas.openxmlformats.org/spreadsheetml/2006/main">
  <sheetPr>
    <outlinePr summaryBelow="1" summaryRight="1"/>
    <pageSetUpPr/>
  </sheetPr>
  <dimension ref="A1:B3"/>
  <sheetViews>
    <sheetView workbookViewId="0">
      <selection activeCell="C29" sqref="C29"/>
    </sheetView>
  </sheetViews>
  <sheetFormatPr baseColWidth="10" defaultRowHeight="14.4"/>
  <sheetData>
    <row r="1">
      <c r="A1" t="inlineStr">
        <is>
          <t>Ergebnis</t>
        </is>
      </c>
      <c r="B1" t="n">
        <v>1</v>
      </c>
    </row>
    <row r="2">
      <c r="A2" t="inlineStr">
        <is>
          <t>Beschreibung</t>
        </is>
      </c>
      <c r="B2" t="n">
        <v>2</v>
      </c>
    </row>
    <row r="3">
      <c r="A3" t="inlineStr">
        <is>
          <t>Empfehlung</t>
        </is>
      </c>
      <c r="B3" t="n">
        <v>3</v>
      </c>
    </row>
  </sheetData>
  <pageMargins left="0.7" right="0.7" top="0.787401575" bottom="0.787401575" header="0.3" footer="0.3"/>
</worksheet>
</file>

<file path=xl/worksheets/sheet4.xml><?xml version="1.0" encoding="utf-8"?>
<worksheet xmlns="http://schemas.openxmlformats.org/spreadsheetml/2006/main">
  <sheetPr>
    <outlinePr summaryBelow="1" summaryRight="1"/>
    <pageSetUpPr/>
  </sheetPr>
  <dimension ref="A1:D5"/>
  <sheetViews>
    <sheetView workbookViewId="0">
      <selection activeCell="D3" sqref="D3"/>
    </sheetView>
  </sheetViews>
  <sheetFormatPr baseColWidth="10" defaultRowHeight="14.4"/>
  <sheetData>
    <row r="1">
      <c r="A1" t="inlineStr">
        <is>
          <t>Entgeltpunkt</t>
        </is>
      </c>
      <c r="B1" t="n">
        <v>40</v>
      </c>
      <c r="D1" t="inlineStr">
        <is>
          <t>ja</t>
        </is>
      </c>
    </row>
    <row r="2">
      <c r="A2" t="inlineStr">
        <is>
          <t>1/7 Bezugsgröße</t>
        </is>
      </c>
      <c r="B2" t="n">
        <v>565</v>
      </c>
      <c r="D2" t="inlineStr">
        <is>
          <t>nein</t>
        </is>
      </c>
    </row>
    <row r="3">
      <c r="A3" t="inlineStr">
        <is>
          <t>Mini Job</t>
        </is>
      </c>
      <c r="B3" t="n">
        <v>603</v>
      </c>
    </row>
    <row r="5">
      <c r="A5" t="inlineStr">
        <is>
          <t>Grenze</t>
        </is>
      </c>
      <c r="B5">
        <f>IF(Tabelle1!C24&gt;0,Tabelle3!B3,Tabelle3!B2)</f>
        <v/>
      </c>
    </row>
  </sheetData>
  <pageMargins left="0.7" right="0.7" top="0.787401575" bottom="0.7874015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Alexander von Dziengel</dc:creator>
  <dcterms:created xmlns:dcterms="http://purl.org/dc/terms/" xmlns:xsi="http://www.w3.org/2001/XMLSchema-instance" xsi:type="dcterms:W3CDTF">2026-03-20T19:49:21Z</dcterms:created>
  <dcterms:modified xmlns:dcterms="http://purl.org/dc/terms/" xmlns:xsi="http://www.w3.org/2001/XMLSchema-instance" xsi:type="dcterms:W3CDTF">2026-03-22T22:51:15Z</dcterms:modified>
  <cp:lastModifiedBy>Alexander von Dziengel</cp:lastModifiedBy>
</cp:coreProperties>
</file>